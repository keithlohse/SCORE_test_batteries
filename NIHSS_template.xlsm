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u6015231\Documents\GitHub\SCORE_test_batteries\"/>
    </mc:Choice>
  </mc:AlternateContent>
  <bookViews>
    <workbookView xWindow="0" yWindow="0" windowWidth="19200" windowHeight="7050"/>
  </bookViews>
  <sheets>
    <sheet name="NHSS" sheetId="1" r:id="rId1"/>
    <sheet name="DATA_EXPORT" sheetId="3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7" i="1" l="1"/>
  <c r="F16" i="1"/>
  <c r="G2" i="3" l="1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I2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L2" i="3"/>
  <c r="K2" i="3"/>
  <c r="J2" i="3"/>
  <c r="F22" i="1"/>
  <c r="F8" i="1"/>
  <c r="F21" i="1"/>
  <c r="F20" i="1"/>
  <c r="F19" i="1"/>
  <c r="F18" i="1"/>
  <c r="F15" i="1"/>
  <c r="F14" i="1"/>
  <c r="F13" i="1"/>
  <c r="F12" i="1"/>
  <c r="F11" i="1"/>
  <c r="F9" i="1"/>
  <c r="F10" i="1"/>
  <c r="B2" i="3" l="1"/>
  <c r="L3" i="3" l="1"/>
  <c r="L4" i="3" s="1"/>
  <c r="L5" i="3" s="1"/>
  <c r="L6" i="3" s="1"/>
  <c r="L7" i="3" s="1"/>
  <c r="L8" i="3" s="1"/>
  <c r="L9" i="3" s="1"/>
  <c r="L10" i="3" s="1"/>
  <c r="L11" i="3" s="1"/>
  <c r="L12" i="3" s="1"/>
  <c r="L13" i="3" s="1"/>
  <c r="L14" i="3" s="1"/>
  <c r="L15" i="3" s="1"/>
  <c r="L16" i="3" s="1"/>
  <c r="F3" i="3"/>
  <c r="F4" i="3" s="1"/>
  <c r="F5" i="3" s="1"/>
  <c r="F6" i="3" s="1"/>
  <c r="F7" i="3" s="1"/>
  <c r="F8" i="3" s="1"/>
  <c r="F9" i="3" s="1"/>
  <c r="F10" i="3" s="1"/>
  <c r="F11" i="3" s="1"/>
  <c r="F12" i="3" s="1"/>
  <c r="F13" i="3" s="1"/>
  <c r="F14" i="3" s="1"/>
  <c r="F15" i="3" s="1"/>
  <c r="F16" i="3" s="1"/>
  <c r="B3" i="3"/>
  <c r="B4" i="3" s="1"/>
  <c r="B5" i="3" s="1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K3" i="3" l="1"/>
  <c r="K4" i="3" s="1"/>
  <c r="K5" i="3" s="1"/>
  <c r="K6" i="3" s="1"/>
  <c r="K7" i="3" s="1"/>
  <c r="K8" i="3" s="1"/>
  <c r="K9" i="3" s="1"/>
  <c r="K10" i="3" s="1"/>
  <c r="K11" i="3" s="1"/>
  <c r="K12" i="3" s="1"/>
  <c r="K13" i="3" s="1"/>
  <c r="K14" i="3" s="1"/>
  <c r="K15" i="3" s="1"/>
  <c r="K16" i="3" s="1"/>
  <c r="J3" i="3"/>
  <c r="J4" i="3" s="1"/>
  <c r="J5" i="3" s="1"/>
  <c r="J6" i="3" s="1"/>
  <c r="J7" i="3" s="1"/>
  <c r="J8" i="3" s="1"/>
  <c r="J9" i="3" s="1"/>
  <c r="J10" i="3" s="1"/>
  <c r="J11" i="3" s="1"/>
  <c r="J12" i="3" s="1"/>
  <c r="J13" i="3" s="1"/>
  <c r="J14" i="3" s="1"/>
  <c r="J15" i="3" s="1"/>
  <c r="J16" i="3" s="1"/>
  <c r="E2" i="3"/>
  <c r="E3" i="3" s="1"/>
  <c r="E4" i="3" s="1"/>
  <c r="E5" i="3" s="1"/>
  <c r="E6" i="3" s="1"/>
  <c r="E7" i="3" s="1"/>
  <c r="E8" i="3" s="1"/>
  <c r="E9" i="3" s="1"/>
  <c r="E10" i="3" s="1"/>
  <c r="E11" i="3" s="1"/>
  <c r="E12" i="3" s="1"/>
  <c r="E13" i="3" s="1"/>
  <c r="E14" i="3" s="1"/>
  <c r="E15" i="3" s="1"/>
  <c r="E16" i="3" s="1"/>
  <c r="D2" i="3"/>
  <c r="D3" i="3" s="1"/>
  <c r="D4" i="3" s="1"/>
  <c r="D5" i="3" s="1"/>
  <c r="D6" i="3" s="1"/>
  <c r="D7" i="3" s="1"/>
  <c r="D8" i="3" s="1"/>
  <c r="D9" i="3" s="1"/>
  <c r="D10" i="3" s="1"/>
  <c r="D11" i="3" s="1"/>
  <c r="D12" i="3" s="1"/>
  <c r="D13" i="3" s="1"/>
  <c r="D14" i="3" s="1"/>
  <c r="D15" i="3" s="1"/>
  <c r="D16" i="3" s="1"/>
  <c r="C2" i="3"/>
  <c r="C3" i="3" s="1"/>
  <c r="C4" i="3" s="1"/>
  <c r="C5" i="3" s="1"/>
  <c r="C6" i="3" s="1"/>
  <c r="C7" i="3" s="1"/>
  <c r="C8" i="3" s="1"/>
  <c r="C9" i="3" s="1"/>
  <c r="C10" i="3" s="1"/>
  <c r="C11" i="3" s="1"/>
  <c r="C12" i="3" s="1"/>
  <c r="C13" i="3" s="1"/>
  <c r="C14" i="3" s="1"/>
  <c r="C15" i="3" s="1"/>
  <c r="C16" i="3" s="1"/>
  <c r="A2" i="3"/>
  <c r="A3" i="3" s="1"/>
  <c r="A4" i="3" s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</calcChain>
</file>

<file path=xl/sharedStrings.xml><?xml version="1.0" encoding="utf-8"?>
<sst xmlns="http://schemas.openxmlformats.org/spreadsheetml/2006/main" count="78" uniqueCount="73">
  <si>
    <t>Item</t>
  </si>
  <si>
    <t>Comments</t>
  </si>
  <si>
    <t>Item 05</t>
  </si>
  <si>
    <t>Subject ID</t>
  </si>
  <si>
    <t>Date</t>
  </si>
  <si>
    <t>Item 06</t>
  </si>
  <si>
    <t>Item 09</t>
  </si>
  <si>
    <t>Item 02</t>
  </si>
  <si>
    <t>Item 01</t>
  </si>
  <si>
    <t>subID</t>
  </si>
  <si>
    <t>year</t>
  </si>
  <si>
    <t>month</t>
  </si>
  <si>
    <t>day</t>
  </si>
  <si>
    <t>item</t>
  </si>
  <si>
    <t>scale</t>
  </si>
  <si>
    <t>Item 03</t>
  </si>
  <si>
    <t>Item 04</t>
  </si>
  <si>
    <t>Item 07</t>
  </si>
  <si>
    <t>Item 08</t>
  </si>
  <si>
    <t>Item 10</t>
  </si>
  <si>
    <t>Item 11</t>
  </si>
  <si>
    <t>Item 12</t>
  </si>
  <si>
    <t>Item 13</t>
  </si>
  <si>
    <t>Item 14</t>
  </si>
  <si>
    <t>Item 15</t>
  </si>
  <si>
    <t>date</t>
  </si>
  <si>
    <t>assessment</t>
  </si>
  <si>
    <t>(YYYY_MM_DD)</t>
  </si>
  <si>
    <t>2018_07_11</t>
  </si>
  <si>
    <t>Affected Arm</t>
  </si>
  <si>
    <t>FAS Score</t>
  </si>
  <si>
    <r>
      <t xml:space="preserve">Assessment of Affected Arm (Complete </t>
    </r>
    <r>
      <rPr>
        <b/>
        <i/>
        <u/>
        <sz val="14"/>
        <color theme="1"/>
        <rFont val="Calibri"/>
        <family val="2"/>
        <scheme val="minor"/>
      </rPr>
      <t>First</t>
    </r>
    <r>
      <rPr>
        <b/>
        <i/>
        <sz val="14"/>
        <color theme="1"/>
        <rFont val="Calibri"/>
        <family val="2"/>
        <scheme val="minor"/>
      </rPr>
      <t>)</t>
    </r>
  </si>
  <si>
    <t>ABC123</t>
  </si>
  <si>
    <t>Domain</t>
  </si>
  <si>
    <t>Specific</t>
  </si>
  <si>
    <t>Levels of Consciousness</t>
  </si>
  <si>
    <t>Motor</t>
  </si>
  <si>
    <t>Arousal Status</t>
  </si>
  <si>
    <t>Current Month and Age</t>
  </si>
  <si>
    <t>Commands: Open/Close Eyes and Hands</t>
  </si>
  <si>
    <t>Eye Movements</t>
  </si>
  <si>
    <t>Visual Fields</t>
  </si>
  <si>
    <t>Facial Movements</t>
  </si>
  <si>
    <t>Left Arm</t>
  </si>
  <si>
    <t>Rights Arm</t>
  </si>
  <si>
    <t>Left Leg</t>
  </si>
  <si>
    <t>Right Leg</t>
  </si>
  <si>
    <t>Sensory</t>
  </si>
  <si>
    <t>Language/Aphasia</t>
  </si>
  <si>
    <t>Dysarthia</t>
  </si>
  <si>
    <t>Neglect</t>
  </si>
  <si>
    <t>NHSS</t>
  </si>
  <si>
    <t>arousal_status</t>
  </si>
  <si>
    <t>current_month_age</t>
  </si>
  <si>
    <t>commands</t>
  </si>
  <si>
    <t>eye_movements</t>
  </si>
  <si>
    <t>visual_field</t>
  </si>
  <si>
    <t>facial_movement</t>
  </si>
  <si>
    <t>left_arm</t>
  </si>
  <si>
    <t>right_arm</t>
  </si>
  <si>
    <t>left_leg</t>
  </si>
  <si>
    <t>right_leg</t>
  </si>
  <si>
    <t>limb_ataxia</t>
  </si>
  <si>
    <t>sensory</t>
  </si>
  <si>
    <t>language_aphasis</t>
  </si>
  <si>
    <t>dysarthia</t>
  </si>
  <si>
    <t>neglect</t>
  </si>
  <si>
    <t>Limb Ataxia</t>
  </si>
  <si>
    <t>loc_total</t>
  </si>
  <si>
    <t>motor_total</t>
  </si>
  <si>
    <t>score</t>
  </si>
  <si>
    <t>NIHSS_total</t>
  </si>
  <si>
    <t>NIH Stroke Scale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</si>
</sst>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i/>
      <u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3" borderId="0" xfId="0" applyFill="1"/>
    <xf numFmtId="0" fontId="0" fillId="2" borderId="1" xfId="0" applyFill="1" applyBorder="1"/>
    <xf numFmtId="0" fontId="0" fillId="3" borderId="0" xfId="0" applyFill="1" applyBorder="1"/>
    <xf numFmtId="0" fontId="0" fillId="3" borderId="3" xfId="0" applyFill="1" applyBorder="1"/>
    <xf numFmtId="0" fontId="0" fillId="3" borderId="2" xfId="0" applyFill="1" applyBorder="1"/>
    <xf numFmtId="0" fontId="2" fillId="3" borderId="3" xfId="0" applyFont="1" applyFill="1" applyBorder="1"/>
    <xf numFmtId="0" fontId="3" fillId="3" borderId="0" xfId="0" applyFont="1" applyFill="1" applyBorder="1"/>
    <xf numFmtId="0" fontId="2" fillId="3" borderId="2" xfId="0" applyFont="1" applyFill="1" applyBorder="1"/>
    <xf numFmtId="0" fontId="5" fillId="3" borderId="2" xfId="0" applyFont="1" applyFill="1" applyBorder="1"/>
    <xf numFmtId="0" fontId="0" fillId="3" borderId="2" xfId="0" applyFill="1" applyBorder="1" applyAlignment="1">
      <alignment vertical="top"/>
    </xf>
    <xf numFmtId="0" fontId="0" fillId="3" borderId="4" xfId="0" applyFill="1" applyBorder="1" applyAlignment="1">
      <alignment vertical="top"/>
    </xf>
    <xf numFmtId="0" fontId="7" fillId="3" borderId="0" xfId="0" applyFont="1" applyFill="1"/>
    <xf numFmtId="49" fontId="0" fillId="2" borderId="1" xfId="0" applyNumberFormat="1" applyFill="1" applyBorder="1"/>
    <xf numFmtId="49" fontId="0" fillId="3" borderId="0" xfId="0" applyNumberFormat="1" applyFill="1"/>
    <xf numFmtId="0" fontId="1" fillId="0" borderId="9" xfId="0" applyFont="1" applyBorder="1" applyAlignment="1">
      <alignment vertical="center" wrapText="1"/>
    </xf>
    <xf numFmtId="0" fontId="0" fillId="3" borderId="0" xfId="0" applyFill="1" applyBorder="1" applyAlignment="1">
      <alignment horizontal="center" vertical="center" wrapText="1"/>
    </xf>
    <xf numFmtId="0" fontId="0" fillId="3" borderId="0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/>
    </xf>
    <xf numFmtId="0" fontId="0" fillId="3" borderId="0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4" fillId="3" borderId="6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0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276225</xdr:colOff>
      <xdr:row>0</xdr:row>
      <xdr:rowOff>152401</xdr:rowOff>
    </xdr:from>
    <xdr:to>
      <xdr:col>17</xdr:col>
      <xdr:colOff>152400</xdr:colOff>
      <xdr:row>3</xdr:row>
      <xdr:rowOff>161925</xdr:rowOff>
    </xdr:to>
    <xdr:sp macro="[0]!ExportAsCSV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A536D7E-318F-4D15-A206-E58629071A37}"/>
            </a:ext>
          </a:extLst>
        </xdr:cNvPr>
        <xdr:cNvSpPr/>
      </xdr:nvSpPr>
      <xdr:spPr>
        <a:xfrm>
          <a:off x="13201650" y="152401"/>
          <a:ext cx="2314575" cy="581024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Click to Export</a:t>
          </a:r>
          <a:r>
            <a:rPr lang="en-US" sz="1800" baseline="0"/>
            <a:t> .csv</a:t>
          </a:r>
          <a:endParaRPr lang="en-US" sz="1800"/>
        </a:p>
      </xdr:txBody>
    </xdr:sp>
    <xdr:clientData/>
  </xdr:twoCellAnchor>
  <xdr:twoCellAnchor>
    <xdr:from>
      <xdr:col>13</xdr:col>
      <xdr:colOff>228599</xdr:colOff>
      <xdr:row>4</xdr:row>
      <xdr:rowOff>104774</xdr:rowOff>
    </xdr:from>
    <xdr:to>
      <xdr:col>17</xdr:col>
      <xdr:colOff>228600</xdr:colOff>
      <xdr:row>10</xdr:row>
      <xdr:rowOff>66674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5AEDD956-7706-4749-BC35-8C0DF11602F0}"/>
            </a:ext>
          </a:extLst>
        </xdr:cNvPr>
        <xdr:cNvSpPr/>
      </xdr:nvSpPr>
      <xdr:spPr>
        <a:xfrm>
          <a:off x="9810749" y="866774"/>
          <a:ext cx="2438401" cy="1104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*Make sure you have a "participant_files" folder at the same level as this template. The participant data are written to that folder using the "subID" as a file name.</a:t>
          </a:r>
          <a:r>
            <a:rPr lang="en-US"/>
            <a:t> 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22"/>
  <sheetViews>
    <sheetView tabSelected="1" workbookViewId="0">
      <selection activeCell="L9" sqref="L9"/>
    </sheetView>
  </sheetViews>
  <sheetFormatPr defaultRowHeight="15" x14ac:dyDescent="0.25"/>
  <cols>
    <col min="1" max="1" width="11.85546875" customWidth="1"/>
    <col min="2" max="2" width="13.42578125" customWidth="1"/>
    <col min="3" max="3" width="19.140625" bestFit="1" customWidth="1"/>
    <col min="4" max="4" width="22.28515625" customWidth="1"/>
    <col min="5" max="5" width="14.140625" customWidth="1"/>
    <col min="6" max="6" width="52.5703125" customWidth="1"/>
  </cols>
  <sheetData>
    <row r="1" spans="1:6" ht="18" customHeight="1" thickBot="1" x14ac:dyDescent="0.35">
      <c r="A1" s="26" t="s">
        <v>72</v>
      </c>
      <c r="B1" s="27"/>
      <c r="C1" s="27"/>
      <c r="D1" s="27"/>
      <c r="E1" s="27"/>
      <c r="F1" s="28"/>
    </row>
    <row r="2" spans="1:6" ht="18.75" x14ac:dyDescent="0.3">
      <c r="A2" s="9" t="s">
        <v>31</v>
      </c>
      <c r="B2" s="7"/>
      <c r="C2" s="3"/>
      <c r="D2" s="3"/>
      <c r="E2" s="3"/>
      <c r="F2" s="4"/>
    </row>
    <row r="3" spans="1:6" x14ac:dyDescent="0.25">
      <c r="A3" s="5" t="s">
        <v>3</v>
      </c>
      <c r="B3" s="2" t="s">
        <v>32</v>
      </c>
      <c r="C3" s="3"/>
      <c r="D3" s="3"/>
      <c r="E3" s="3"/>
      <c r="F3" s="4"/>
    </row>
    <row r="4" spans="1:6" x14ac:dyDescent="0.25">
      <c r="A4" s="5" t="s">
        <v>4</v>
      </c>
      <c r="B4" s="13" t="s">
        <v>28</v>
      </c>
      <c r="C4" s="3" t="s">
        <v>27</v>
      </c>
      <c r="D4" s="3"/>
      <c r="E4" s="3"/>
      <c r="F4" s="4"/>
    </row>
    <row r="5" spans="1:6" x14ac:dyDescent="0.25">
      <c r="A5" s="5"/>
      <c r="B5" s="3"/>
      <c r="C5" s="3"/>
      <c r="D5" s="3"/>
      <c r="E5" s="3"/>
      <c r="F5" s="4"/>
    </row>
    <row r="6" spans="1:6" x14ac:dyDescent="0.25">
      <c r="A6" s="5"/>
      <c r="B6" s="3"/>
      <c r="C6" s="3"/>
      <c r="D6" s="29" t="s">
        <v>29</v>
      </c>
      <c r="E6" s="29"/>
      <c r="F6" s="4"/>
    </row>
    <row r="7" spans="1:6" ht="15.75" thickBot="1" x14ac:dyDescent="0.3">
      <c r="A7" s="8" t="s">
        <v>0</v>
      </c>
      <c r="B7" s="29" t="s">
        <v>33</v>
      </c>
      <c r="C7" s="29"/>
      <c r="D7" s="23" t="s">
        <v>34</v>
      </c>
      <c r="E7" s="23" t="s">
        <v>30</v>
      </c>
      <c r="F7" s="6" t="s">
        <v>1</v>
      </c>
    </row>
    <row r="8" spans="1:6" ht="35.25" customHeight="1" x14ac:dyDescent="0.25">
      <c r="A8" s="10" t="s">
        <v>8</v>
      </c>
      <c r="B8" s="24" t="s">
        <v>35</v>
      </c>
      <c r="C8" s="24"/>
      <c r="D8" s="17" t="s">
        <v>37</v>
      </c>
      <c r="E8" s="18"/>
      <c r="F8" s="15" t="str">
        <f>IF(E8="","Values must be 0 to 3.",IF(E8=0,"0 = Alert (awakens easily and stays awake)",IF(E8=1,"1 = Drowsy (responds to stimulation but falls back asleep)",IF(E8=2,"2 = Obtunded (responds only to deep pain or vigorous stim)",IF(E8=3,"3 = Comatose (no response)","Values must be 0 to 3.")))))</f>
        <v>Values must be 0 to 3.</v>
      </c>
    </row>
    <row r="9" spans="1:6" ht="35.25" customHeight="1" x14ac:dyDescent="0.25">
      <c r="A9" s="10" t="s">
        <v>7</v>
      </c>
      <c r="B9" s="24" t="s">
        <v>35</v>
      </c>
      <c r="C9" s="24"/>
      <c r="D9" s="16" t="s">
        <v>38</v>
      </c>
      <c r="E9" s="19"/>
      <c r="F9" s="15" t="str">
        <f>IF(E9="","Values must be 0 to 2.",IF(E9=0,"0 = Both questions answered correctly",IF(E9=1,"1 = One question answered correctly",IF(E9=2,"2 = Neither question answered correctly","Values must be 0 to 2."))))</f>
        <v>Values must be 0 to 2.</v>
      </c>
    </row>
    <row r="10" spans="1:6" ht="35.25" customHeight="1" x14ac:dyDescent="0.25">
      <c r="A10" s="10" t="s">
        <v>15</v>
      </c>
      <c r="B10" s="24" t="s">
        <v>35</v>
      </c>
      <c r="C10" s="24"/>
      <c r="D10" s="16" t="s">
        <v>39</v>
      </c>
      <c r="E10" s="19"/>
      <c r="F10" s="15" t="str">
        <f>IF(E10="","Values must be 0 to 2.",IF(E10=0,"0 = Both commands performed correctly",IF(E10=1,"1 = One command performed correctly",IF(E10=2,"2 = Neither command performed correctly","Values must be 0 to 2."))))</f>
        <v>Values must be 0 to 2.</v>
      </c>
    </row>
    <row r="11" spans="1:6" ht="35.25" customHeight="1" x14ac:dyDescent="0.25">
      <c r="A11" s="10" t="s">
        <v>16</v>
      </c>
      <c r="B11" s="24"/>
      <c r="C11" s="24"/>
      <c r="D11" s="17" t="s">
        <v>40</v>
      </c>
      <c r="E11" s="19"/>
      <c r="F11" s="15" t="str">
        <f>IF(E11="","Values must be 0 to 2.",IF(E11=0,"0 = Normal",IF(E11=1,"1 = Mild gaze paralysis (can bring eyes over to midline)",IF(E11=2,"2 = Complete gaze paralysis (deviated and unable to bring eyes over)","Values must be 0 to 2."))))</f>
        <v>Values must be 0 to 2.</v>
      </c>
    </row>
    <row r="12" spans="1:6" ht="35.25" customHeight="1" x14ac:dyDescent="0.25">
      <c r="A12" s="10" t="s">
        <v>2</v>
      </c>
      <c r="B12" s="24"/>
      <c r="C12" s="24"/>
      <c r="D12" s="17" t="s">
        <v>41</v>
      </c>
      <c r="E12" s="20"/>
      <c r="F12" s="15" t="str">
        <f>IF(E12="","Values must be 0 to 3.",IF(E12=0,"0 = Normal",IF(E12=1,"1 = Partial hemianopia",IF(E12=2,"2 = Complete hemianopia",IF(E12=3,"3 = Bilateral hemianopia (total blindness)","Values must be 0 to 3.")))))</f>
        <v>Values must be 0 to 3.</v>
      </c>
    </row>
    <row r="13" spans="1:6" ht="35.25" customHeight="1" x14ac:dyDescent="0.25">
      <c r="A13" s="10" t="s">
        <v>5</v>
      </c>
      <c r="B13" s="24"/>
      <c r="C13" s="24"/>
      <c r="D13" s="17" t="s">
        <v>42</v>
      </c>
      <c r="E13" s="20"/>
      <c r="F13" s="15" t="str">
        <f>IF(E13="","Values must be 0 to 3.",IF(E13=0,"0 = Normal",IF(E13=1,"1 = Minor paralysis (flattening of nasolabial folds)",IF(E13=2,"2 = Partial paralysis (near or total lower face paralysis)",IF(E13=3,"3 = Complete paralysis (affecting both upper and lower face)","Values must be 0 to 3.")))))</f>
        <v>Values must be 0 to 3.</v>
      </c>
    </row>
    <row r="14" spans="1:6" ht="35.25" customHeight="1" x14ac:dyDescent="0.25">
      <c r="A14" s="10" t="s">
        <v>17</v>
      </c>
      <c r="B14" s="24" t="s">
        <v>36</v>
      </c>
      <c r="C14" s="24"/>
      <c r="D14" s="17" t="s">
        <v>43</v>
      </c>
      <c r="E14" s="20"/>
      <c r="F14" s="15" t="str">
        <f>IF(E14="","Values must be 0 to 4.",IF(E14=0,"0 = Normal (no drift)",IF(E14=1,"1 = Some drift (arms drifts partially downward)",IF(E14=2,"2 = Drift (arm drifts down to hip level within 10s)",IF(E14=3,"3 = Movement, but not against gravity", IF(E14=4, "Complete paralysis (no movement at all)", "Values must be 0 to 3."))))))</f>
        <v>Values must be 0 to 4.</v>
      </c>
    </row>
    <row r="15" spans="1:6" ht="35.25" customHeight="1" x14ac:dyDescent="0.25">
      <c r="A15" s="10" t="s">
        <v>18</v>
      </c>
      <c r="B15" s="24" t="s">
        <v>36</v>
      </c>
      <c r="C15" s="24"/>
      <c r="D15" s="17" t="s">
        <v>44</v>
      </c>
      <c r="E15" s="20"/>
      <c r="F15" s="15" t="str">
        <f>IF(E15="","Values must be 0 to 4.",IF(E15=0,"0 = Normal (no drift)",IF(E15=1,"1 = Some drift (arms drifts partially downward)",IF(E15=2,"2 = Drift (arm drifts down to hip level within 10s)",IF(E15=3,"3 = Movement, but not against gravity", IF(E15=4, "Complete paralysis (no movement at all)", "Values must be 0 to 3."))))))</f>
        <v>Values must be 0 to 4.</v>
      </c>
    </row>
    <row r="16" spans="1:6" ht="35.25" customHeight="1" x14ac:dyDescent="0.25">
      <c r="A16" s="10" t="s">
        <v>6</v>
      </c>
      <c r="B16" s="24" t="s">
        <v>36</v>
      </c>
      <c r="C16" s="24"/>
      <c r="D16" s="17" t="s">
        <v>45</v>
      </c>
      <c r="E16" s="20"/>
      <c r="F16" s="15" t="str">
        <f>IF(E16="","Values must be 0 to 4.",IF(E16=0,"0 = Normal (no drift)",IF(E16=1,"1 = Some drift (leg drifts partially downward)",IF(E16=2,"2 = Drift (leg drifts down to surface within 5s)",IF(E16=3,"3 = Movement, but not against gravity", IF(E16=4, "Complete paralysis (no movement at all)", "Values must be 0 to 3."))))))</f>
        <v>Values must be 0 to 4.</v>
      </c>
    </row>
    <row r="17" spans="1:6" ht="35.25" customHeight="1" x14ac:dyDescent="0.25">
      <c r="A17" s="10" t="s">
        <v>19</v>
      </c>
      <c r="B17" s="24" t="s">
        <v>36</v>
      </c>
      <c r="C17" s="24"/>
      <c r="D17" s="17" t="s">
        <v>46</v>
      </c>
      <c r="E17" s="20"/>
      <c r="F17" s="15" t="str">
        <f>IF(E17="","Values must be 0 to 4.",IF(E17=0,"0 = Normal (no drift)",IF(E17=1,"1 = Some drift (leg drifts partially downward)",IF(E17=2,"2 = Drift (leg drifts down to surface within 5s)",IF(E17=3,"3 = Movement, but not against gravity", IF(E17=4, "Complete paralysis (no movement at all)", "Values must be 0 to 3."))))))</f>
        <v>Values must be 0 to 4.</v>
      </c>
    </row>
    <row r="18" spans="1:6" ht="35.25" customHeight="1" x14ac:dyDescent="0.25">
      <c r="A18" s="10" t="s">
        <v>20</v>
      </c>
      <c r="B18" s="24"/>
      <c r="C18" s="24"/>
      <c r="D18" s="17" t="s">
        <v>67</v>
      </c>
      <c r="E18" s="20"/>
      <c r="F18" s="15" t="str">
        <f>IF(E18="","Values must be 0 to 2.",IF(E18=0,"0 = Absent (no ataxia)",IF(E18=1,"1 = Present in one limb",IF(E18=2,"2 = Present in two or more limbs","Values must be 0 to 2."))))</f>
        <v>Values must be 0 to 2.</v>
      </c>
    </row>
    <row r="19" spans="1:6" ht="35.25" customHeight="1" x14ac:dyDescent="0.25">
      <c r="A19" s="10" t="s">
        <v>21</v>
      </c>
      <c r="B19" s="24"/>
      <c r="C19" s="24"/>
      <c r="D19" s="17" t="s">
        <v>47</v>
      </c>
      <c r="E19" s="20"/>
      <c r="F19" s="15" t="str">
        <f>IF(E19="","Values must be 0 to 2.",IF(E19=0,"0 = Normal",IF(E19=1,"1 = Mild to moderate loss",IF(E19=2,"2 = Severe to total sensory loss (unaware of touch)","Values must be 0 to 2."))))</f>
        <v>Values must be 0 to 2.</v>
      </c>
    </row>
    <row r="20" spans="1:6" ht="35.25" customHeight="1" x14ac:dyDescent="0.25">
      <c r="A20" s="10" t="s">
        <v>22</v>
      </c>
      <c r="B20" s="24"/>
      <c r="C20" s="24"/>
      <c r="D20" s="17" t="s">
        <v>48</v>
      </c>
      <c r="E20" s="20"/>
      <c r="F20" s="15" t="str">
        <f>IF(E20="","Values must be 0 to 3.",IF(E20=0,"0 = Normal ability to use words",IF(E20=1,"1 = Mild to moderate (repeats/names with some difficulty)",IF(E20=2,"2 = Severe aphasia (very few words correct or understood)",IF(E20=3,"3 = Mute (no evidence of ability to speak or understand)","Values must be 0 to 3.")))))</f>
        <v>Values must be 0 to 3.</v>
      </c>
    </row>
    <row r="21" spans="1:6" ht="35.25" customHeight="1" x14ac:dyDescent="0.25">
      <c r="A21" s="10" t="s">
        <v>23</v>
      </c>
      <c r="B21" s="24"/>
      <c r="C21" s="24"/>
      <c r="D21" s="17" t="s">
        <v>49</v>
      </c>
      <c r="E21" s="20"/>
      <c r="F21" s="15" t="str">
        <f>IF(E21="","Values must be 0 to 2, or na.",IF(E21=0,"0 = Normal",IF(E21=1,"1 = Mild to moderate slurred speech",IF(E21=2,"2 = Severely slurred speech (unintelligible)",IF(E21="na","na = Intubated or other physical barrier","Values must be 0 to 2, or na.")))))</f>
        <v>Values must be 0 to 2, or na.</v>
      </c>
    </row>
    <row r="22" spans="1:6" ht="35.25" customHeight="1" thickBot="1" x14ac:dyDescent="0.3">
      <c r="A22" s="11" t="s">
        <v>24</v>
      </c>
      <c r="B22" s="25"/>
      <c r="C22" s="25"/>
      <c r="D22" s="22" t="s">
        <v>50</v>
      </c>
      <c r="E22" s="21"/>
      <c r="F22" s="15" t="str">
        <f>IF(E22="","Values must be 0 to 2.",IF(E22=0,"0 = No abnormality in attention",IF(E22=1,"1 = mild (partial visual or tactile neglect)",IF(E22=2,"2 = Profound (complete visual and tactile neglect)", "Values must be 0 to 2."))))</f>
        <v>Values must be 0 to 2.</v>
      </c>
    </row>
  </sheetData>
  <mergeCells count="18">
    <mergeCell ref="A1:F1"/>
    <mergeCell ref="D6:E6"/>
    <mergeCell ref="B8:C8"/>
    <mergeCell ref="B7:C7"/>
    <mergeCell ref="B9:C9"/>
    <mergeCell ref="B20:C20"/>
    <mergeCell ref="B21:C21"/>
    <mergeCell ref="B22:C22"/>
    <mergeCell ref="B10:C10"/>
    <mergeCell ref="B11:C11"/>
    <mergeCell ref="B12:C12"/>
    <mergeCell ref="B13:C13"/>
    <mergeCell ref="B14:C14"/>
    <mergeCell ref="B15:C15"/>
    <mergeCell ref="B16:C16"/>
    <mergeCell ref="B17:C17"/>
    <mergeCell ref="B18:C18"/>
    <mergeCell ref="B19:C19"/>
  </mergeCells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16"/>
  <sheetViews>
    <sheetView workbookViewId="0">
      <selection activeCell="H2" sqref="H2"/>
    </sheetView>
  </sheetViews>
  <sheetFormatPr defaultRowHeight="15" x14ac:dyDescent="0.25"/>
  <cols>
    <col min="1" max="1" width="9.140625" style="1"/>
    <col min="2" max="2" width="11" style="1" bestFit="1" customWidth="1"/>
    <col min="3" max="5" width="9.140625" style="1"/>
    <col min="6" max="6" width="11.28515625" style="1" bestFit="1" customWidth="1"/>
    <col min="7" max="7" width="9.140625" style="1"/>
    <col min="8" max="8" width="37.28515625" style="1" bestFit="1" customWidth="1"/>
    <col min="9" max="9" width="12.28515625" style="1" bestFit="1" customWidth="1"/>
    <col min="10" max="10" width="16" style="1" bestFit="1" customWidth="1"/>
    <col min="11" max="11" width="15.85546875" style="1" bestFit="1" customWidth="1"/>
    <col min="12" max="12" width="12.5703125" style="1" bestFit="1" customWidth="1"/>
  </cols>
  <sheetData>
    <row r="1" spans="1:12" x14ac:dyDescent="0.25">
      <c r="A1" s="12" t="s">
        <v>9</v>
      </c>
      <c r="B1" s="12" t="s">
        <v>25</v>
      </c>
      <c r="C1" s="12" t="s">
        <v>10</v>
      </c>
      <c r="D1" s="12" t="s">
        <v>11</v>
      </c>
      <c r="E1" s="12" t="s">
        <v>12</v>
      </c>
      <c r="F1" s="12" t="s">
        <v>26</v>
      </c>
      <c r="G1" s="12" t="s">
        <v>13</v>
      </c>
      <c r="H1" s="12" t="s">
        <v>14</v>
      </c>
      <c r="I1" s="12" t="s">
        <v>70</v>
      </c>
      <c r="J1" s="12" t="s">
        <v>68</v>
      </c>
      <c r="K1" s="12" t="s">
        <v>69</v>
      </c>
      <c r="L1" s="12" t="s">
        <v>71</v>
      </c>
    </row>
    <row r="2" spans="1:12" x14ac:dyDescent="0.25">
      <c r="A2" s="1" t="str">
        <f>NHSS!B3</f>
        <v>ABC123</v>
      </c>
      <c r="B2" s="14" t="str">
        <f>NHSS!B4</f>
        <v>2018_07_11</v>
      </c>
      <c r="C2" s="1" t="str">
        <f>LEFT(NHSS!B4,4)</f>
        <v>2018</v>
      </c>
      <c r="D2" s="1" t="str">
        <f>RIGHT(LEFT(NHSS!B4,7),2)</f>
        <v>07</v>
      </c>
      <c r="E2" s="1" t="str">
        <f>RIGHT(NHSS!B4,2)</f>
        <v>11</v>
      </c>
      <c r="F2" s="1" t="s">
        <v>51</v>
      </c>
      <c r="G2" s="1" t="str">
        <f>RIGHT(NHSS!A8,2)</f>
        <v>01</v>
      </c>
      <c r="H2" s="1" t="s">
        <v>52</v>
      </c>
      <c r="I2" s="1">
        <f>NHSS!E8</f>
        <v>0</v>
      </c>
      <c r="J2" s="1">
        <f>SUM(NHSS!E8:E10)</f>
        <v>0</v>
      </c>
      <c r="K2" s="1">
        <f>SUM(NHSS!E14:E17)</f>
        <v>0</v>
      </c>
      <c r="L2" s="1">
        <f>SUM(NHSS!E8:E22)</f>
        <v>0</v>
      </c>
    </row>
    <row r="3" spans="1:12" x14ac:dyDescent="0.25">
      <c r="A3" s="1" t="str">
        <f t="shared" ref="A3:F3" si="0">A2</f>
        <v>ABC123</v>
      </c>
      <c r="B3" s="1" t="str">
        <f t="shared" si="0"/>
        <v>2018_07_11</v>
      </c>
      <c r="C3" s="1" t="str">
        <f t="shared" si="0"/>
        <v>2018</v>
      </c>
      <c r="D3" s="1" t="str">
        <f t="shared" si="0"/>
        <v>07</v>
      </c>
      <c r="E3" s="1" t="str">
        <f t="shared" si="0"/>
        <v>11</v>
      </c>
      <c r="F3" s="1" t="str">
        <f t="shared" si="0"/>
        <v>NHSS</v>
      </c>
      <c r="G3" s="1" t="str">
        <f>RIGHT(NHSS!A9,2)</f>
        <v>02</v>
      </c>
      <c r="H3" s="1" t="s">
        <v>53</v>
      </c>
      <c r="I3" s="1">
        <f>NHSS!E9</f>
        <v>0</v>
      </c>
      <c r="J3" s="1">
        <f t="shared" ref="J3:L3" si="1">J2</f>
        <v>0</v>
      </c>
      <c r="K3" s="1">
        <f t="shared" si="1"/>
        <v>0</v>
      </c>
      <c r="L3" s="1">
        <f t="shared" si="1"/>
        <v>0</v>
      </c>
    </row>
    <row r="4" spans="1:12" x14ac:dyDescent="0.25">
      <c r="A4" s="1" t="str">
        <f t="shared" ref="A4:B16" si="2">A3</f>
        <v>ABC123</v>
      </c>
      <c r="B4" s="1" t="str">
        <f t="shared" si="2"/>
        <v>2018_07_11</v>
      </c>
      <c r="C4" s="1" t="str">
        <f t="shared" ref="C4:C16" si="3">C3</f>
        <v>2018</v>
      </c>
      <c r="D4" s="1" t="str">
        <f t="shared" ref="D4:D16" si="4">D3</f>
        <v>07</v>
      </c>
      <c r="E4" s="1" t="str">
        <f t="shared" ref="E4:F16" si="5">E3</f>
        <v>11</v>
      </c>
      <c r="F4" s="1" t="str">
        <f t="shared" si="5"/>
        <v>NHSS</v>
      </c>
      <c r="G4" s="1" t="str">
        <f>RIGHT(NHSS!A10,2)</f>
        <v>03</v>
      </c>
      <c r="H4" s="1" t="s">
        <v>54</v>
      </c>
      <c r="I4" s="1">
        <f>NHSS!E10</f>
        <v>0</v>
      </c>
      <c r="J4" s="1">
        <f t="shared" ref="J4:J16" si="6">J3</f>
        <v>0</v>
      </c>
      <c r="K4" s="1">
        <f t="shared" ref="K4:K16" si="7">K3</f>
        <v>0</v>
      </c>
      <c r="L4" s="1">
        <f t="shared" ref="L4:L16" si="8">L3</f>
        <v>0</v>
      </c>
    </row>
    <row r="5" spans="1:12" x14ac:dyDescent="0.25">
      <c r="A5" s="1" t="str">
        <f t="shared" si="2"/>
        <v>ABC123</v>
      </c>
      <c r="B5" s="1" t="str">
        <f t="shared" si="2"/>
        <v>2018_07_11</v>
      </c>
      <c r="C5" s="1" t="str">
        <f t="shared" si="3"/>
        <v>2018</v>
      </c>
      <c r="D5" s="1" t="str">
        <f t="shared" si="4"/>
        <v>07</v>
      </c>
      <c r="E5" s="1" t="str">
        <f t="shared" si="5"/>
        <v>11</v>
      </c>
      <c r="F5" s="1" t="str">
        <f t="shared" si="5"/>
        <v>NHSS</v>
      </c>
      <c r="G5" s="1" t="str">
        <f>RIGHT(NHSS!A11,2)</f>
        <v>04</v>
      </c>
      <c r="H5" s="1" t="s">
        <v>55</v>
      </c>
      <c r="I5" s="1">
        <f>NHSS!E11</f>
        <v>0</v>
      </c>
      <c r="J5" s="1">
        <f t="shared" si="6"/>
        <v>0</v>
      </c>
      <c r="K5" s="1">
        <f t="shared" si="7"/>
        <v>0</v>
      </c>
      <c r="L5" s="1">
        <f t="shared" si="8"/>
        <v>0</v>
      </c>
    </row>
    <row r="6" spans="1:12" ht="15" customHeight="1" x14ac:dyDescent="0.25">
      <c r="A6" s="1" t="str">
        <f t="shared" si="2"/>
        <v>ABC123</v>
      </c>
      <c r="B6" s="1" t="str">
        <f t="shared" si="2"/>
        <v>2018_07_11</v>
      </c>
      <c r="C6" s="1" t="str">
        <f t="shared" si="3"/>
        <v>2018</v>
      </c>
      <c r="D6" s="1" t="str">
        <f t="shared" si="4"/>
        <v>07</v>
      </c>
      <c r="E6" s="1" t="str">
        <f t="shared" si="5"/>
        <v>11</v>
      </c>
      <c r="F6" s="1" t="str">
        <f t="shared" si="5"/>
        <v>NHSS</v>
      </c>
      <c r="G6" s="1" t="str">
        <f>RIGHT(NHSS!A12,2)</f>
        <v>05</v>
      </c>
      <c r="H6" s="1" t="s">
        <v>56</v>
      </c>
      <c r="I6" s="1">
        <f>NHSS!E12</f>
        <v>0</v>
      </c>
      <c r="J6" s="1">
        <f t="shared" si="6"/>
        <v>0</v>
      </c>
      <c r="K6" s="1">
        <f t="shared" si="7"/>
        <v>0</v>
      </c>
      <c r="L6" s="1">
        <f t="shared" si="8"/>
        <v>0</v>
      </c>
    </row>
    <row r="7" spans="1:12" x14ac:dyDescent="0.25">
      <c r="A7" s="1" t="str">
        <f t="shared" si="2"/>
        <v>ABC123</v>
      </c>
      <c r="B7" s="1" t="str">
        <f t="shared" si="2"/>
        <v>2018_07_11</v>
      </c>
      <c r="C7" s="1" t="str">
        <f t="shared" si="3"/>
        <v>2018</v>
      </c>
      <c r="D7" s="1" t="str">
        <f t="shared" si="4"/>
        <v>07</v>
      </c>
      <c r="E7" s="1" t="str">
        <f t="shared" si="5"/>
        <v>11</v>
      </c>
      <c r="F7" s="1" t="str">
        <f t="shared" si="5"/>
        <v>NHSS</v>
      </c>
      <c r="G7" s="1" t="str">
        <f>RIGHT(NHSS!A13,2)</f>
        <v>06</v>
      </c>
      <c r="H7" s="1" t="s">
        <v>57</v>
      </c>
      <c r="I7" s="1">
        <f>NHSS!E13</f>
        <v>0</v>
      </c>
      <c r="J7" s="1">
        <f t="shared" si="6"/>
        <v>0</v>
      </c>
      <c r="K7" s="1">
        <f t="shared" si="7"/>
        <v>0</v>
      </c>
      <c r="L7" s="1">
        <f t="shared" si="8"/>
        <v>0</v>
      </c>
    </row>
    <row r="8" spans="1:12" x14ac:dyDescent="0.25">
      <c r="A8" s="1" t="str">
        <f t="shared" si="2"/>
        <v>ABC123</v>
      </c>
      <c r="B8" s="1" t="str">
        <f t="shared" si="2"/>
        <v>2018_07_11</v>
      </c>
      <c r="C8" s="1" t="str">
        <f t="shared" si="3"/>
        <v>2018</v>
      </c>
      <c r="D8" s="1" t="str">
        <f t="shared" si="4"/>
        <v>07</v>
      </c>
      <c r="E8" s="1" t="str">
        <f t="shared" si="5"/>
        <v>11</v>
      </c>
      <c r="F8" s="1" t="str">
        <f t="shared" si="5"/>
        <v>NHSS</v>
      </c>
      <c r="G8" s="1" t="str">
        <f>RIGHT(NHSS!A14,2)</f>
        <v>07</v>
      </c>
      <c r="H8" s="1" t="s">
        <v>58</v>
      </c>
      <c r="I8" s="1">
        <f>NHSS!E14</f>
        <v>0</v>
      </c>
      <c r="J8" s="1">
        <f t="shared" si="6"/>
        <v>0</v>
      </c>
      <c r="K8" s="1">
        <f t="shared" si="7"/>
        <v>0</v>
      </c>
      <c r="L8" s="1">
        <f t="shared" si="8"/>
        <v>0</v>
      </c>
    </row>
    <row r="9" spans="1:12" x14ac:dyDescent="0.25">
      <c r="A9" s="1" t="str">
        <f t="shared" si="2"/>
        <v>ABC123</v>
      </c>
      <c r="B9" s="1" t="str">
        <f t="shared" si="2"/>
        <v>2018_07_11</v>
      </c>
      <c r="C9" s="1" t="str">
        <f t="shared" si="3"/>
        <v>2018</v>
      </c>
      <c r="D9" s="1" t="str">
        <f t="shared" si="4"/>
        <v>07</v>
      </c>
      <c r="E9" s="1" t="str">
        <f t="shared" si="5"/>
        <v>11</v>
      </c>
      <c r="F9" s="1" t="str">
        <f t="shared" si="5"/>
        <v>NHSS</v>
      </c>
      <c r="G9" s="1" t="str">
        <f>RIGHT(NHSS!A15,2)</f>
        <v>08</v>
      </c>
      <c r="H9" s="1" t="s">
        <v>59</v>
      </c>
      <c r="I9" s="1">
        <f>NHSS!E15</f>
        <v>0</v>
      </c>
      <c r="J9" s="1">
        <f t="shared" si="6"/>
        <v>0</v>
      </c>
      <c r="K9" s="1">
        <f t="shared" si="7"/>
        <v>0</v>
      </c>
      <c r="L9" s="1">
        <f t="shared" si="8"/>
        <v>0</v>
      </c>
    </row>
    <row r="10" spans="1:12" x14ac:dyDescent="0.25">
      <c r="A10" s="1" t="str">
        <f t="shared" si="2"/>
        <v>ABC123</v>
      </c>
      <c r="B10" s="1" t="str">
        <f t="shared" si="2"/>
        <v>2018_07_11</v>
      </c>
      <c r="C10" s="1" t="str">
        <f t="shared" si="3"/>
        <v>2018</v>
      </c>
      <c r="D10" s="1" t="str">
        <f t="shared" si="4"/>
        <v>07</v>
      </c>
      <c r="E10" s="1" t="str">
        <f t="shared" si="5"/>
        <v>11</v>
      </c>
      <c r="F10" s="1" t="str">
        <f t="shared" si="5"/>
        <v>NHSS</v>
      </c>
      <c r="G10" s="1" t="str">
        <f>RIGHT(NHSS!A16,2)</f>
        <v>09</v>
      </c>
      <c r="H10" s="1" t="s">
        <v>60</v>
      </c>
      <c r="I10" s="1">
        <f>NHSS!E16</f>
        <v>0</v>
      </c>
      <c r="J10" s="1">
        <f t="shared" si="6"/>
        <v>0</v>
      </c>
      <c r="K10" s="1">
        <f t="shared" si="7"/>
        <v>0</v>
      </c>
      <c r="L10" s="1">
        <f t="shared" si="8"/>
        <v>0</v>
      </c>
    </row>
    <row r="11" spans="1:12" x14ac:dyDescent="0.25">
      <c r="A11" s="1" t="str">
        <f t="shared" si="2"/>
        <v>ABC123</v>
      </c>
      <c r="B11" s="1" t="str">
        <f t="shared" si="2"/>
        <v>2018_07_11</v>
      </c>
      <c r="C11" s="1" t="str">
        <f t="shared" si="3"/>
        <v>2018</v>
      </c>
      <c r="D11" s="1" t="str">
        <f t="shared" si="4"/>
        <v>07</v>
      </c>
      <c r="E11" s="1" t="str">
        <f t="shared" si="5"/>
        <v>11</v>
      </c>
      <c r="F11" s="1" t="str">
        <f t="shared" si="5"/>
        <v>NHSS</v>
      </c>
      <c r="G11" s="1" t="str">
        <f>RIGHT(NHSS!A17,2)</f>
        <v>10</v>
      </c>
      <c r="H11" s="1" t="s">
        <v>61</v>
      </c>
      <c r="I11" s="1">
        <f>NHSS!E17</f>
        <v>0</v>
      </c>
      <c r="J11" s="1">
        <f t="shared" si="6"/>
        <v>0</v>
      </c>
      <c r="K11" s="1">
        <f t="shared" si="7"/>
        <v>0</v>
      </c>
      <c r="L11" s="1">
        <f t="shared" si="8"/>
        <v>0</v>
      </c>
    </row>
    <row r="12" spans="1:12" x14ac:dyDescent="0.25">
      <c r="A12" s="1" t="str">
        <f t="shared" si="2"/>
        <v>ABC123</v>
      </c>
      <c r="B12" s="1" t="str">
        <f t="shared" si="2"/>
        <v>2018_07_11</v>
      </c>
      <c r="C12" s="1" t="str">
        <f t="shared" si="3"/>
        <v>2018</v>
      </c>
      <c r="D12" s="1" t="str">
        <f t="shared" si="4"/>
        <v>07</v>
      </c>
      <c r="E12" s="1" t="str">
        <f t="shared" si="5"/>
        <v>11</v>
      </c>
      <c r="F12" s="1" t="str">
        <f t="shared" si="5"/>
        <v>NHSS</v>
      </c>
      <c r="G12" s="1" t="str">
        <f>RIGHT(NHSS!A18,2)</f>
        <v>11</v>
      </c>
      <c r="H12" s="1" t="s">
        <v>62</v>
      </c>
      <c r="I12" s="1">
        <f>NHSS!E18</f>
        <v>0</v>
      </c>
      <c r="J12" s="1">
        <f t="shared" si="6"/>
        <v>0</v>
      </c>
      <c r="K12" s="1">
        <f t="shared" si="7"/>
        <v>0</v>
      </c>
      <c r="L12" s="1">
        <f t="shared" si="8"/>
        <v>0</v>
      </c>
    </row>
    <row r="13" spans="1:12" x14ac:dyDescent="0.25">
      <c r="A13" s="1" t="str">
        <f t="shared" si="2"/>
        <v>ABC123</v>
      </c>
      <c r="B13" s="1" t="str">
        <f t="shared" si="2"/>
        <v>2018_07_11</v>
      </c>
      <c r="C13" s="1" t="str">
        <f t="shared" si="3"/>
        <v>2018</v>
      </c>
      <c r="D13" s="1" t="str">
        <f t="shared" si="4"/>
        <v>07</v>
      </c>
      <c r="E13" s="1" t="str">
        <f t="shared" si="5"/>
        <v>11</v>
      </c>
      <c r="F13" s="1" t="str">
        <f t="shared" si="5"/>
        <v>NHSS</v>
      </c>
      <c r="G13" s="1" t="str">
        <f>RIGHT(NHSS!A19,2)</f>
        <v>12</v>
      </c>
      <c r="H13" s="1" t="s">
        <v>63</v>
      </c>
      <c r="I13" s="1">
        <f>NHSS!E19</f>
        <v>0</v>
      </c>
      <c r="J13" s="1">
        <f t="shared" si="6"/>
        <v>0</v>
      </c>
      <c r="K13" s="1">
        <f t="shared" si="7"/>
        <v>0</v>
      </c>
      <c r="L13" s="1">
        <f t="shared" si="8"/>
        <v>0</v>
      </c>
    </row>
    <row r="14" spans="1:12" x14ac:dyDescent="0.25">
      <c r="A14" s="1" t="str">
        <f t="shared" si="2"/>
        <v>ABC123</v>
      </c>
      <c r="B14" s="1" t="str">
        <f t="shared" si="2"/>
        <v>2018_07_11</v>
      </c>
      <c r="C14" s="1" t="str">
        <f t="shared" si="3"/>
        <v>2018</v>
      </c>
      <c r="D14" s="1" t="str">
        <f t="shared" si="4"/>
        <v>07</v>
      </c>
      <c r="E14" s="1" t="str">
        <f t="shared" si="5"/>
        <v>11</v>
      </c>
      <c r="F14" s="1" t="str">
        <f t="shared" si="5"/>
        <v>NHSS</v>
      </c>
      <c r="G14" s="1" t="str">
        <f>RIGHT(NHSS!A20,2)</f>
        <v>13</v>
      </c>
      <c r="H14" s="1" t="s">
        <v>64</v>
      </c>
      <c r="I14" s="1">
        <f>NHSS!E20</f>
        <v>0</v>
      </c>
      <c r="J14" s="1">
        <f t="shared" si="6"/>
        <v>0</v>
      </c>
      <c r="K14" s="1">
        <f t="shared" si="7"/>
        <v>0</v>
      </c>
      <c r="L14" s="1">
        <f t="shared" si="8"/>
        <v>0</v>
      </c>
    </row>
    <row r="15" spans="1:12" x14ac:dyDescent="0.25">
      <c r="A15" s="1" t="str">
        <f t="shared" si="2"/>
        <v>ABC123</v>
      </c>
      <c r="B15" s="1" t="str">
        <f t="shared" si="2"/>
        <v>2018_07_11</v>
      </c>
      <c r="C15" s="1" t="str">
        <f t="shared" si="3"/>
        <v>2018</v>
      </c>
      <c r="D15" s="1" t="str">
        <f t="shared" si="4"/>
        <v>07</v>
      </c>
      <c r="E15" s="1" t="str">
        <f t="shared" si="5"/>
        <v>11</v>
      </c>
      <c r="F15" s="1" t="str">
        <f t="shared" si="5"/>
        <v>NHSS</v>
      </c>
      <c r="G15" s="1" t="str">
        <f>RIGHT(NHSS!A21,2)</f>
        <v>14</v>
      </c>
      <c r="H15" s="1" t="s">
        <v>65</v>
      </c>
      <c r="I15" s="1">
        <f>NHSS!E21</f>
        <v>0</v>
      </c>
      <c r="J15" s="1">
        <f t="shared" si="6"/>
        <v>0</v>
      </c>
      <c r="K15" s="1">
        <f t="shared" si="7"/>
        <v>0</v>
      </c>
      <c r="L15" s="1">
        <f t="shared" si="8"/>
        <v>0</v>
      </c>
    </row>
    <row r="16" spans="1:12" x14ac:dyDescent="0.25">
      <c r="A16" s="1" t="str">
        <f t="shared" si="2"/>
        <v>ABC123</v>
      </c>
      <c r="B16" s="1" t="str">
        <f t="shared" si="2"/>
        <v>2018_07_11</v>
      </c>
      <c r="C16" s="1" t="str">
        <f t="shared" si="3"/>
        <v>2018</v>
      </c>
      <c r="D16" s="1" t="str">
        <f t="shared" si="4"/>
        <v>07</v>
      </c>
      <c r="E16" s="1" t="str">
        <f t="shared" si="5"/>
        <v>11</v>
      </c>
      <c r="F16" s="1" t="str">
        <f t="shared" si="5"/>
        <v>NHSS</v>
      </c>
      <c r="G16" s="1" t="str">
        <f>RIGHT(NHSS!A22,2)</f>
        <v>15</v>
      </c>
      <c r="H16" s="1" t="s">
        <v>66</v>
      </c>
      <c r="I16" s="1">
        <f>NHSS!E22</f>
        <v>0</v>
      </c>
      <c r="J16" s="1">
        <f t="shared" si="6"/>
        <v>0</v>
      </c>
      <c r="K16" s="1">
        <f t="shared" si="7"/>
        <v>0</v>
      </c>
      <c r="L16" s="1">
        <f t="shared" si="8"/>
        <v>0</v>
      </c>
    </row>
  </sheetData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NHSS</vt:lpstr>
      <vt:lpstr>DATA_EXPORT</vt:lpstr>
    </vt:vector>
  </TitlesOfParts>
  <Company>University of Utah College of Health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Keith Lohse</dc:creator>
  <cp:lastModifiedBy>Keith Lohse</cp:lastModifiedBy>
  <dcterms:created xsi:type="dcterms:W3CDTF">2018-06-10T19:42:59Z</dcterms:created>
  <dcterms:modified xsi:type="dcterms:W3CDTF">2018-08-24T20:39:29Z</dcterms:modified>
</cp:coreProperties>
</file>