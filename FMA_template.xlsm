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6015231\Box Sync\Collaboration\Lei Liew\"/>
    </mc:Choice>
  </mc:AlternateContent>
  <bookViews>
    <workbookView xWindow="0" yWindow="0" windowWidth="19200" windowHeight="7050" activeTab="3"/>
  </bookViews>
  <sheets>
    <sheet name="FMA_LE" sheetId="1" r:id="rId1"/>
    <sheet name="FMA_UE" sheetId="2" r:id="rId2"/>
    <sheet name="FMA_SENSE" sheetId="4" r:id="rId3"/>
    <sheet name="DATA_EXPORT" sheetId="3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F4" i="3" s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B2" i="3"/>
  <c r="B3" i="3" s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H53" i="3" l="1"/>
  <c r="H54" i="3"/>
  <c r="H55" i="3"/>
  <c r="H56" i="3"/>
  <c r="H57" i="3"/>
  <c r="H58" i="3"/>
  <c r="H59" i="3"/>
  <c r="H60" i="3"/>
  <c r="H61" i="3"/>
  <c r="H62" i="3"/>
  <c r="H63" i="3"/>
  <c r="H52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19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2" i="3"/>
  <c r="M2" i="3"/>
  <c r="M3" i="3" s="1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L2" i="3"/>
  <c r="L3" i="3" s="1"/>
  <c r="L4" i="3" s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K2" i="3"/>
  <c r="K3" i="3" s="1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J2" i="3"/>
  <c r="J3" i="3" s="1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I53" i="3"/>
  <c r="I54" i="3"/>
  <c r="I55" i="3"/>
  <c r="I56" i="3"/>
  <c r="I57" i="3"/>
  <c r="I58" i="3"/>
  <c r="I59" i="3"/>
  <c r="I60" i="3"/>
  <c r="I61" i="3"/>
  <c r="I62" i="3"/>
  <c r="I63" i="3"/>
  <c r="I52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19" i="3"/>
  <c r="E2" i="3"/>
  <c r="E3" i="3" s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D2" i="3"/>
  <c r="D3" i="3" s="1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2" i="3"/>
  <c r="E23" i="4"/>
  <c r="E21" i="4"/>
  <c r="E20" i="4"/>
  <c r="E26" i="1"/>
  <c r="E42" i="2"/>
  <c r="E41" i="2"/>
  <c r="E25" i="1"/>
  <c r="F18" i="4"/>
  <c r="F17" i="4"/>
  <c r="F16" i="4"/>
  <c r="F15" i="4"/>
  <c r="F14" i="4"/>
  <c r="F13" i="4"/>
  <c r="F12" i="4"/>
  <c r="F11" i="4"/>
  <c r="F10" i="4"/>
  <c r="F9" i="4"/>
  <c r="F8" i="4"/>
  <c r="F7" i="4"/>
  <c r="B4" i="4"/>
  <c r="B3" i="4"/>
  <c r="F39" i="2"/>
  <c r="F38" i="2"/>
  <c r="F37" i="2"/>
  <c r="F36" i="2"/>
  <c r="F35" i="2"/>
  <c r="F34" i="2"/>
  <c r="F33" i="2"/>
  <c r="F32" i="2"/>
  <c r="F31" i="2"/>
  <c r="F30" i="2"/>
  <c r="F29" i="2"/>
  <c r="F28" i="2"/>
  <c r="F26" i="2"/>
  <c r="F27" i="2"/>
  <c r="F25" i="2"/>
  <c r="F24" i="2"/>
  <c r="F23" i="2"/>
  <c r="F22" i="2"/>
  <c r="F21" i="2"/>
  <c r="F20" i="2" l="1"/>
  <c r="F19" i="2"/>
  <c r="F18" i="2"/>
  <c r="F17" i="2"/>
  <c r="F16" i="2"/>
  <c r="F15" i="2"/>
  <c r="F14" i="2"/>
  <c r="F13" i="2"/>
  <c r="F12" i="2"/>
  <c r="F11" i="2"/>
  <c r="F10" i="2"/>
  <c r="F9" i="2"/>
  <c r="B4" i="2"/>
  <c r="B3" i="2"/>
  <c r="F8" i="2"/>
  <c r="F7" i="2"/>
  <c r="F23" i="1"/>
  <c r="F22" i="1"/>
  <c r="F21" i="1"/>
  <c r="F20" i="1"/>
  <c r="F19" i="1"/>
  <c r="F18" i="1"/>
  <c r="F17" i="1"/>
  <c r="F15" i="1"/>
  <c r="F16" i="1"/>
  <c r="F14" i="1"/>
  <c r="F13" i="1"/>
  <c r="F12" i="1"/>
  <c r="F11" i="1"/>
  <c r="F10" i="1"/>
  <c r="F9" i="1"/>
  <c r="F8" i="1"/>
  <c r="F7" i="1"/>
</calcChain>
</file>

<file path=xl/sharedStrings.xml><?xml version="1.0" encoding="utf-8"?>
<sst xmlns="http://schemas.openxmlformats.org/spreadsheetml/2006/main" count="282" uniqueCount="178">
  <si>
    <t>Item</t>
  </si>
  <si>
    <t>Reflex Activity</t>
  </si>
  <si>
    <t>Achilles Reflex</t>
  </si>
  <si>
    <t>Patellar Reflex</t>
  </si>
  <si>
    <t>Flexor Synergy</t>
  </si>
  <si>
    <t>Flexor Synergy-Hip</t>
  </si>
  <si>
    <t>Flexor Synergy-Knee</t>
  </si>
  <si>
    <t>Extensor Synergy-Hip</t>
  </si>
  <si>
    <t>Extensor Synergy-Knee</t>
  </si>
  <si>
    <t>Extensory Synergy-Ankle</t>
  </si>
  <si>
    <t>Adductor Synergy-Hip</t>
  </si>
  <si>
    <t>Comments</t>
  </si>
  <si>
    <t>Score</t>
  </si>
  <si>
    <t>Knee Flexion Beyond 90</t>
  </si>
  <si>
    <t>Ankle Dorsiflexion</t>
  </si>
  <si>
    <t>Posture</t>
  </si>
  <si>
    <t>Movement</t>
  </si>
  <si>
    <t>Supine or Sitting</t>
  </si>
  <si>
    <t>Supine</t>
  </si>
  <si>
    <t>Side-lying</t>
  </si>
  <si>
    <t>Sitting</t>
  </si>
  <si>
    <t>Standing</t>
  </si>
  <si>
    <t>Knee Flexion</t>
  </si>
  <si>
    <t>Item 05</t>
  </si>
  <si>
    <t>Normal Reflexes</t>
  </si>
  <si>
    <t>Coordination Tremor</t>
  </si>
  <si>
    <t>Coordination Dysmetria</t>
  </si>
  <si>
    <t>Coordination Speed</t>
  </si>
  <si>
    <t>FUGL-MEYER ASSESSMENT</t>
  </si>
  <si>
    <t>Flexor Synergy-Ankle</t>
  </si>
  <si>
    <t>Subject ID</t>
  </si>
  <si>
    <t>Date</t>
  </si>
  <si>
    <t>UPPER Extremity</t>
  </si>
  <si>
    <t>LOWER Extremity</t>
  </si>
  <si>
    <t>Reflex Activity - Triceps</t>
  </si>
  <si>
    <t>Reflex Activity - Biceps</t>
  </si>
  <si>
    <t>Internal Rotation</t>
  </si>
  <si>
    <t>Elbow Extension</t>
  </si>
  <si>
    <t>Elevation - Scapular</t>
  </si>
  <si>
    <t>Retraction - Scapular</t>
  </si>
  <si>
    <t>Shoulder Abduction</t>
  </si>
  <si>
    <t>External Rotation</t>
  </si>
  <si>
    <t>Elbow Flexion</t>
  </si>
  <si>
    <t>Forearm Supination</t>
  </si>
  <si>
    <t>Forearm Pronation</t>
  </si>
  <si>
    <t>Category</t>
  </si>
  <si>
    <t>Hand to Lumbar Spine</t>
  </si>
  <si>
    <t>Shoulder to 90; Elbow at 0</t>
  </si>
  <si>
    <t>Pronation/Supination; Shoulder at 0 Elbow at 90</t>
  </si>
  <si>
    <t>Movement Out Synergy</t>
  </si>
  <si>
    <t>Extensor Synergy</t>
  </si>
  <si>
    <t>Movement Combining Synergy</t>
  </si>
  <si>
    <t>Flexory Synergy</t>
  </si>
  <si>
    <t>Extensory Synergy</t>
  </si>
  <si>
    <t>Movement Out of Synergy</t>
  </si>
  <si>
    <t>Coordination/Speed Sitting</t>
  </si>
  <si>
    <t>Shoulder Flexion</t>
  </si>
  <si>
    <t xml:space="preserve">Pronation/Supination; Elbow at 0, Shoulder flexion between 30-90 </t>
  </si>
  <si>
    <t>Item 06</t>
  </si>
  <si>
    <t>Bicep/Tricep Reflexes</t>
  </si>
  <si>
    <t>Wrist</t>
  </si>
  <si>
    <t>Stability, elbow 90</t>
  </si>
  <si>
    <t>Flexion/Extension, elbow 90</t>
  </si>
  <si>
    <t>Stability, elbow 0</t>
  </si>
  <si>
    <t>Flexion/Extension, elbow 0</t>
  </si>
  <si>
    <t>Circumduction</t>
  </si>
  <si>
    <t>Hand</t>
  </si>
  <si>
    <t>Finger flexion</t>
  </si>
  <si>
    <t>Finger extenstion</t>
  </si>
  <si>
    <t>Grasp 1</t>
  </si>
  <si>
    <t>Grasp 2</t>
  </si>
  <si>
    <t>Grasp 3</t>
  </si>
  <si>
    <t>Grasp 4</t>
  </si>
  <si>
    <t>Grasp 5</t>
  </si>
  <si>
    <t>Item 09</t>
  </si>
  <si>
    <t>Coordination/Speed</t>
  </si>
  <si>
    <t>Tremor</t>
  </si>
  <si>
    <t>Dysmetria</t>
  </si>
  <si>
    <t>Speed</t>
  </si>
  <si>
    <t>Item 02</t>
  </si>
  <si>
    <t>Item 01</t>
  </si>
  <si>
    <t xml:space="preserve">Upper arm </t>
  </si>
  <si>
    <t>Thigh</t>
  </si>
  <si>
    <t>Sole of foot</t>
  </si>
  <si>
    <t>Shoulder</t>
  </si>
  <si>
    <t>Elbow</t>
  </si>
  <si>
    <t>Thumb</t>
  </si>
  <si>
    <t>Hip</t>
  </si>
  <si>
    <t>Knee</t>
  </si>
  <si>
    <t>Ankle</t>
  </si>
  <si>
    <t>Toe</t>
  </si>
  <si>
    <t>Proprioception-UE</t>
  </si>
  <si>
    <t>Proprioception-LE</t>
  </si>
  <si>
    <t>Light Touch - UE</t>
  </si>
  <si>
    <t>Light Touch - LE</t>
  </si>
  <si>
    <r>
      <t xml:space="preserve">Total LE Score </t>
    </r>
    <r>
      <rPr>
        <sz val="11"/>
        <color theme="1"/>
        <rFont val="Calibri"/>
        <family val="2"/>
        <scheme val="minor"/>
      </rPr>
      <t>(Out of 34)</t>
    </r>
  </si>
  <si>
    <r>
      <t xml:space="preserve">Total UE Score </t>
    </r>
    <r>
      <rPr>
        <sz val="11"/>
        <color theme="1"/>
        <rFont val="Calibri"/>
        <family val="2"/>
        <scheme val="minor"/>
      </rPr>
      <t>(Out of 66)</t>
    </r>
  </si>
  <si>
    <r>
      <rPr>
        <b/>
        <i/>
        <sz val="11"/>
        <color theme="1"/>
        <rFont val="Calibri"/>
        <family val="2"/>
        <scheme val="minor"/>
      </rPr>
      <t xml:space="preserve">Total Motor Score </t>
    </r>
    <r>
      <rPr>
        <sz val="11"/>
        <color theme="1"/>
        <rFont val="Calibri"/>
        <family val="2"/>
        <scheme val="minor"/>
      </rPr>
      <t>(Out of 100)</t>
    </r>
  </si>
  <si>
    <r>
      <rPr>
        <b/>
        <i/>
        <sz val="11"/>
        <color theme="1"/>
        <rFont val="Calibri"/>
        <family val="2"/>
        <scheme val="minor"/>
      </rPr>
      <t xml:space="preserve">Total Sensation Score </t>
    </r>
    <r>
      <rPr>
        <sz val="11"/>
        <color theme="1"/>
        <rFont val="Calibri"/>
        <family val="2"/>
        <scheme val="minor"/>
      </rPr>
      <t>(Out of 24)</t>
    </r>
  </si>
  <si>
    <r>
      <rPr>
        <b/>
        <i/>
        <sz val="11"/>
        <color theme="1"/>
        <rFont val="Calibri"/>
        <family val="2"/>
        <scheme val="minor"/>
      </rPr>
      <t>Total FMA Score</t>
    </r>
    <r>
      <rPr>
        <sz val="11"/>
        <color theme="1"/>
        <rFont val="Calibri"/>
        <family val="2"/>
        <scheme val="minor"/>
      </rPr>
      <t xml:space="preserve"> (Out of 124)</t>
    </r>
  </si>
  <si>
    <r>
      <rPr>
        <b/>
        <i/>
        <sz val="11"/>
        <color theme="1"/>
        <rFont val="Calibri"/>
        <family val="2"/>
        <scheme val="minor"/>
      </rPr>
      <t>Total Motor Score</t>
    </r>
    <r>
      <rPr>
        <sz val="11"/>
        <color theme="1"/>
        <rFont val="Calibri"/>
        <family val="2"/>
        <scheme val="minor"/>
      </rPr>
      <t xml:space="preserve"> (Out of 100)</t>
    </r>
  </si>
  <si>
    <t>subID</t>
  </si>
  <si>
    <t>year</t>
  </si>
  <si>
    <t>month</t>
  </si>
  <si>
    <t>day</t>
  </si>
  <si>
    <t>item</t>
  </si>
  <si>
    <t>score</t>
  </si>
  <si>
    <t>scale</t>
  </si>
  <si>
    <t>le</t>
  </si>
  <si>
    <t>ue</t>
  </si>
  <si>
    <t>sense</t>
  </si>
  <si>
    <t>fma_le_total</t>
  </si>
  <si>
    <t>fma_ue_total</t>
  </si>
  <si>
    <t>fma_sense_total</t>
  </si>
  <si>
    <t>fma_total</t>
  </si>
  <si>
    <t>Item 03</t>
  </si>
  <si>
    <t>Item 04</t>
  </si>
  <si>
    <t>Item 07</t>
  </si>
  <si>
    <t>Item 08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</si>
  <si>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</si>
  <si>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</si>
  <si>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</si>
  <si>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</si>
  <si>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</si>
  <si>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</si>
  <si>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</si>
  <si>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</si>
  <si>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</si>
  <si>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</si>
  <si>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</si>
  <si>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</si>
  <si>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</si>
  <si>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</si>
  <si>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</si>
  <si>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</si>
  <si>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</si>
  <si>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</si>
  <si>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Item 28</t>
  </si>
  <si>
    <t>Item 29</t>
  </si>
  <si>
    <t>Item 30</t>
  </si>
  <si>
    <t>Item 31</t>
  </si>
  <si>
    <t>Item 32</t>
  </si>
  <si>
    <t>Item 33</t>
  </si>
  <si>
    <t>Item 34</t>
  </si>
  <si>
    <t>Item 35</t>
  </si>
  <si>
    <t>Item 36</t>
  </si>
  <si>
    <t>Item 37</t>
  </si>
  <si>
    <t>Item 38</t>
  </si>
  <si>
    <t>Item 39</t>
  </si>
  <si>
    <t>Item 40</t>
  </si>
  <si>
    <t>Item 41</t>
  </si>
  <si>
    <t>Item 42</t>
  </si>
  <si>
    <t>Item 43</t>
  </si>
  <si>
    <t>Item 44</t>
  </si>
  <si>
    <t>Item 45</t>
  </si>
  <si>
    <t>Item 46</t>
  </si>
  <si>
    <t>Item 47</t>
  </si>
  <si>
    <t>Item 48</t>
  </si>
  <si>
    <t>Item 49</t>
  </si>
  <si>
    <t>Item 50</t>
  </si>
  <si>
    <t>Item 51</t>
  </si>
  <si>
    <t>Item 52</t>
  </si>
  <si>
    <t>Item 53</t>
  </si>
  <si>
    <t>Item 54</t>
  </si>
  <si>
    <t>Item 55</t>
  </si>
  <si>
    <t>Item 56</t>
  </si>
  <si>
    <t>Item 57</t>
  </si>
  <si>
    <t>Item 58</t>
  </si>
  <si>
    <t>Item 59</t>
  </si>
  <si>
    <t>Item 60</t>
  </si>
  <si>
    <t>Item 61</t>
  </si>
  <si>
    <t>Item 62</t>
  </si>
  <si>
    <t>ABC123</t>
  </si>
  <si>
    <t>date</t>
  </si>
  <si>
    <t>assessment</t>
  </si>
  <si>
    <t>FMA</t>
  </si>
  <si>
    <t>(YYYY_MM_DD)</t>
  </si>
  <si>
    <t>2018_06_11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</si>
</sst>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85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4" borderId="0" xfId="0" applyFill="1"/>
    <xf numFmtId="0" fontId="0" fillId="3" borderId="1" xfId="0" applyFill="1" applyBorder="1"/>
    <xf numFmtId="0" fontId="0" fillId="4" borderId="0" xfId="0" applyFill="1" applyBorder="1"/>
    <xf numFmtId="0" fontId="0" fillId="4" borderId="4" xfId="0" applyFill="1" applyBorder="1"/>
    <xf numFmtId="0" fontId="0" fillId="4" borderId="3" xfId="0" applyFill="1" applyBorder="1"/>
    <xf numFmtId="0" fontId="2" fillId="4" borderId="0" xfId="0" applyFont="1" applyFill="1" applyBorder="1"/>
    <xf numFmtId="0" fontId="2" fillId="4" borderId="4" xfId="0" applyFont="1" applyFill="1" applyBorder="1"/>
    <xf numFmtId="0" fontId="1" fillId="0" borderId="5" xfId="0" applyFont="1" applyBorder="1"/>
    <xf numFmtId="0" fontId="1" fillId="0" borderId="9" xfId="0" applyFont="1" applyBorder="1"/>
    <xf numFmtId="0" fontId="0" fillId="3" borderId="1" xfId="0" applyNumberFormat="1" applyFill="1" applyBorder="1"/>
    <xf numFmtId="0" fontId="3" fillId="4" borderId="0" xfId="0" applyFont="1" applyFill="1" applyBorder="1"/>
    <xf numFmtId="0" fontId="2" fillId="4" borderId="3" xfId="0" applyFont="1" applyFill="1" applyBorder="1"/>
    <xf numFmtId="0" fontId="5" fillId="4" borderId="3" xfId="0" applyFont="1" applyFill="1" applyBorder="1"/>
    <xf numFmtId="0" fontId="6" fillId="4" borderId="3" xfId="0" applyFont="1" applyFill="1" applyBorder="1"/>
    <xf numFmtId="0" fontId="0" fillId="4" borderId="3" xfId="0" applyFill="1" applyBorder="1" applyAlignment="1">
      <alignment vertical="top"/>
    </xf>
    <xf numFmtId="0" fontId="0" fillId="4" borderId="0" xfId="0" applyFill="1" applyBorder="1" applyAlignment="1">
      <alignment vertical="top"/>
    </xf>
    <xf numFmtId="0" fontId="0" fillId="2" borderId="3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7" xfId="0" applyFill="1" applyBorder="1" applyAlignment="1">
      <alignment vertical="top"/>
    </xf>
    <xf numFmtId="0" fontId="0" fillId="4" borderId="10" xfId="0" applyFill="1" applyBorder="1" applyAlignment="1">
      <alignment vertical="top"/>
    </xf>
    <xf numFmtId="0" fontId="0" fillId="4" borderId="11" xfId="0" applyFill="1" applyBorder="1" applyAlignment="1">
      <alignment vertical="top"/>
    </xf>
    <xf numFmtId="0" fontId="0" fillId="4" borderId="13" xfId="0" applyFill="1" applyBorder="1" applyAlignment="1">
      <alignment vertical="top"/>
    </xf>
    <xf numFmtId="0" fontId="0" fillId="4" borderId="14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4" borderId="15" xfId="0" applyFill="1" applyBorder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3" xfId="0" applyFill="1" applyBorder="1" applyAlignment="1">
      <alignment vertical="top"/>
    </xf>
    <xf numFmtId="0" fontId="0" fillId="2" borderId="14" xfId="0" applyFill="1" applyBorder="1" applyAlignment="1">
      <alignment vertical="top"/>
    </xf>
    <xf numFmtId="0" fontId="0" fillId="4" borderId="8" xfId="0" applyFill="1" applyBorder="1" applyAlignment="1">
      <alignment vertical="top"/>
    </xf>
    <xf numFmtId="0" fontId="0" fillId="2" borderId="12" xfId="0" applyFill="1" applyBorder="1" applyAlignment="1">
      <alignment vertical="top"/>
    </xf>
    <xf numFmtId="0" fontId="0" fillId="2" borderId="2" xfId="0" applyFill="1" applyBorder="1" applyAlignment="1">
      <alignment horizontal="center" vertical="center" wrapText="1"/>
    </xf>
    <xf numFmtId="0" fontId="1" fillId="0" borderId="5" xfId="0" applyFont="1" applyBorder="1" applyAlignment="1">
      <alignment vertical="top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 applyAlignment="1">
      <alignment vertical="top"/>
    </xf>
    <xf numFmtId="0" fontId="0" fillId="3" borderId="8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1" fillId="0" borderId="5" xfId="0" applyFont="1" applyBorder="1" applyAlignment="1">
      <alignment vertical="top" wrapText="1"/>
    </xf>
    <xf numFmtId="0" fontId="0" fillId="4" borderId="23" xfId="0" applyFill="1" applyBorder="1" applyAlignment="1">
      <alignment vertical="top"/>
    </xf>
    <xf numFmtId="0" fontId="0" fillId="3" borderId="23" xfId="0" applyFill="1" applyBorder="1" applyAlignment="1">
      <alignment vertical="top"/>
    </xf>
    <xf numFmtId="0" fontId="0" fillId="2" borderId="24" xfId="0" applyFill="1" applyBorder="1" applyAlignment="1">
      <alignment horizontal="center" vertical="center"/>
    </xf>
    <xf numFmtId="0" fontId="0" fillId="2" borderId="23" xfId="0" applyFill="1" applyBorder="1" applyAlignment="1">
      <alignment vertical="top"/>
    </xf>
    <xf numFmtId="0" fontId="0" fillId="7" borderId="25" xfId="0" applyFill="1" applyBorder="1"/>
    <xf numFmtId="0" fontId="3" fillId="0" borderId="0" xfId="0" applyFont="1"/>
    <xf numFmtId="0" fontId="0" fillId="5" borderId="25" xfId="0" applyFill="1" applyBorder="1"/>
    <xf numFmtId="0" fontId="0" fillId="8" borderId="25" xfId="0" applyFill="1" applyBorder="1"/>
    <xf numFmtId="0" fontId="0" fillId="6" borderId="26" xfId="0" applyFill="1" applyBorder="1"/>
    <xf numFmtId="0" fontId="0" fillId="9" borderId="27" xfId="0" applyFill="1" applyBorder="1"/>
    <xf numFmtId="0" fontId="0" fillId="0" borderId="0" xfId="0" applyBorder="1"/>
    <xf numFmtId="0" fontId="0" fillId="0" borderId="0" xfId="0" applyFill="1" applyBorder="1"/>
    <xf numFmtId="0" fontId="0" fillId="8" borderId="28" xfId="0" applyFill="1" applyBorder="1"/>
    <xf numFmtId="0" fontId="7" fillId="4" borderId="0" xfId="0" applyFont="1" applyFill="1"/>
    <xf numFmtId="49" fontId="0" fillId="3" borderId="1" xfId="0" applyNumberFormat="1" applyFill="1" applyBorder="1"/>
    <xf numFmtId="49" fontId="0" fillId="4" borderId="0" xfId="0" applyNumberFormat="1" applyFill="1"/>
    <xf numFmtId="0" fontId="0" fillId="4" borderId="0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0" fillId="4" borderId="11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2" borderId="19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0" fillId="2" borderId="1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276225</xdr:colOff>
      <xdr:row>0</xdr:row>
      <xdr:rowOff>152401</xdr:rowOff>
    </xdr:from>
    <xdr:to>
      <xdr:col>18</xdr:col>
      <xdr:colOff>152400</xdr:colOff>
      <xdr:row>3</xdr:row>
      <xdr:rowOff>161925</xdr:rowOff>
    </xdr:to>
    <xdr:sp macro="[0]!ExportAsCS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A536D7E-318F-4D15-A206-E58629071A37}"/>
            </a:ext>
          </a:extLst>
        </xdr:cNvPr>
        <xdr:cNvSpPr/>
      </xdr:nvSpPr>
      <xdr:spPr>
        <a:xfrm>
          <a:off x="13201650" y="152401"/>
          <a:ext cx="2314575" cy="581024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Click to Export</a:t>
          </a:r>
          <a:r>
            <a:rPr lang="en-US" sz="1800" baseline="0"/>
            <a:t> .csv</a:t>
          </a:r>
          <a:endParaRPr lang="en-US" sz="1800"/>
        </a:p>
      </xdr:txBody>
    </xdr:sp>
    <xdr:clientData/>
  </xdr:twoCellAnchor>
  <xdr:twoCellAnchor>
    <xdr:from>
      <xdr:col>14</xdr:col>
      <xdr:colOff>228599</xdr:colOff>
      <xdr:row>4</xdr:row>
      <xdr:rowOff>104774</xdr:rowOff>
    </xdr:from>
    <xdr:to>
      <xdr:col>18</xdr:col>
      <xdr:colOff>228600</xdr:colOff>
      <xdr:row>10</xdr:row>
      <xdr:rowOff>66674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AEDD956-7706-4749-BC35-8C0DF11602F0}"/>
            </a:ext>
          </a:extLst>
        </xdr:cNvPr>
        <xdr:cNvSpPr/>
      </xdr:nvSpPr>
      <xdr:spPr>
        <a:xfrm>
          <a:off x="9810749" y="866774"/>
          <a:ext cx="2438401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*Make sure you have a "participant_files" folder at the same level as this template. The participant data are written to that folder using the "subID" as a file name.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"/>
  <sheetViews>
    <sheetView workbookViewId="0">
      <selection activeCell="H7" sqref="H7"/>
    </sheetView>
  </sheetViews>
  <sheetFormatPr defaultRowHeight="15" x14ac:dyDescent="0.25"/>
  <cols>
    <col min="1" max="1" width="11.85546875" customWidth="1"/>
    <col min="2" max="2" width="13.42578125" customWidth="1"/>
    <col min="3" max="3" width="19.140625" bestFit="1" customWidth="1"/>
    <col min="4" max="4" width="23.140625" customWidth="1"/>
    <col min="6" max="6" width="52.5703125" customWidth="1"/>
  </cols>
  <sheetData>
    <row r="1" spans="1:6" ht="18" customHeight="1" thickBot="1" x14ac:dyDescent="0.35">
      <c r="A1" s="60" t="s">
        <v>28</v>
      </c>
      <c r="B1" s="61"/>
      <c r="C1" s="61"/>
      <c r="D1" s="61"/>
      <c r="E1" s="61"/>
      <c r="F1" s="62"/>
    </row>
    <row r="2" spans="1:6" ht="18.75" x14ac:dyDescent="0.3">
      <c r="A2" s="13" t="s">
        <v>33</v>
      </c>
      <c r="B2" s="11"/>
      <c r="C2" s="3"/>
      <c r="D2" s="3"/>
      <c r="E2" s="3"/>
      <c r="F2" s="4"/>
    </row>
    <row r="3" spans="1:6" x14ac:dyDescent="0.25">
      <c r="A3" s="5" t="s">
        <v>30</v>
      </c>
      <c r="B3" s="2" t="s">
        <v>172</v>
      </c>
      <c r="C3" s="3"/>
      <c r="D3" s="3"/>
      <c r="E3" s="3"/>
      <c r="F3" s="4"/>
    </row>
    <row r="4" spans="1:6" x14ac:dyDescent="0.25">
      <c r="A4" s="5" t="s">
        <v>31</v>
      </c>
      <c r="B4" s="56" t="s">
        <v>177</v>
      </c>
      <c r="C4" s="3" t="s">
        <v>176</v>
      </c>
      <c r="D4" s="3"/>
      <c r="E4" s="3"/>
      <c r="F4" s="4"/>
    </row>
    <row r="5" spans="1:6" x14ac:dyDescent="0.25">
      <c r="A5" s="5"/>
      <c r="B5" s="3"/>
      <c r="C5" s="3"/>
      <c r="D5" s="3"/>
      <c r="E5" s="3"/>
      <c r="F5" s="4"/>
    </row>
    <row r="6" spans="1:6" x14ac:dyDescent="0.25">
      <c r="A6" s="12" t="s">
        <v>0</v>
      </c>
      <c r="B6" s="6" t="s">
        <v>45</v>
      </c>
      <c r="C6" s="6" t="s">
        <v>15</v>
      </c>
      <c r="D6" s="6" t="s">
        <v>16</v>
      </c>
      <c r="E6" s="6" t="s">
        <v>12</v>
      </c>
      <c r="F6" s="7" t="s">
        <v>11</v>
      </c>
    </row>
    <row r="7" spans="1:6" x14ac:dyDescent="0.25">
      <c r="A7" s="21" t="s">
        <v>80</v>
      </c>
      <c r="B7" s="63" t="s">
        <v>1</v>
      </c>
      <c r="C7" s="68" t="s">
        <v>17</v>
      </c>
      <c r="D7" s="25" t="s">
        <v>2</v>
      </c>
      <c r="E7" s="38"/>
      <c r="F7" s="8" t="str">
        <f>IF(E7="","Values must be 0, 2, or 'na'.", IF(E7=0, "No reflex activity can be elicited",IF(E7=2,"Reflex activity can be Elicited", "Values must be 0, 2, or 'na'.")))</f>
        <v>Values must be 0, 2, or 'na'.</v>
      </c>
    </row>
    <row r="8" spans="1:6" x14ac:dyDescent="0.25">
      <c r="A8" s="23" t="s">
        <v>79</v>
      </c>
      <c r="B8" s="64"/>
      <c r="C8" s="69"/>
      <c r="D8" s="25" t="s">
        <v>3</v>
      </c>
      <c r="E8" s="38"/>
      <c r="F8" s="8" t="str">
        <f>IF(E8="","Values must be 0, 2, or 'na'.", IF(E8=0, "No reflex activity can be elicited",IF(E8=2,"Reflex activity can be Elicited", "Values must be 0, 2, or 'na'.")))</f>
        <v>Values must be 0, 2, or 'na'.</v>
      </c>
    </row>
    <row r="9" spans="1:6" x14ac:dyDescent="0.25">
      <c r="A9" s="29" t="s">
        <v>115</v>
      </c>
      <c r="B9" s="65" t="s">
        <v>52</v>
      </c>
      <c r="C9" s="70" t="s">
        <v>18</v>
      </c>
      <c r="D9" s="26" t="s">
        <v>5</v>
      </c>
      <c r="E9" s="38"/>
      <c r="F9" s="8" t="str">
        <f t="shared" ref="F9:F15" si="0">IF(E9="", "Values must be 0, 1, 2, or 'na'.", IF(E9=0,"Cannot be performed at all",IF(E9=1,"Partial Motion",IF(E9=2,"Full Motion","Values must be 0, 1, 2, or 'na'."))))</f>
        <v>Values must be 0, 1, 2, or 'na'.</v>
      </c>
    </row>
    <row r="10" spans="1:6" x14ac:dyDescent="0.25">
      <c r="A10" s="17" t="s">
        <v>116</v>
      </c>
      <c r="B10" s="66"/>
      <c r="C10" s="71"/>
      <c r="D10" s="26" t="s">
        <v>6</v>
      </c>
      <c r="E10" s="38"/>
      <c r="F10" s="8" t="str">
        <f t="shared" si="0"/>
        <v>Values must be 0, 1, 2, or 'na'.</v>
      </c>
    </row>
    <row r="11" spans="1:6" x14ac:dyDescent="0.25">
      <c r="A11" s="17" t="s">
        <v>23</v>
      </c>
      <c r="B11" s="67"/>
      <c r="C11" s="72"/>
      <c r="D11" s="26" t="s">
        <v>29</v>
      </c>
      <c r="E11" s="38"/>
      <c r="F11" s="8" t="str">
        <f t="shared" si="0"/>
        <v>Values must be 0, 1, 2, or 'na'.</v>
      </c>
    </row>
    <row r="12" spans="1:6" x14ac:dyDescent="0.25">
      <c r="A12" s="22" t="s">
        <v>58</v>
      </c>
      <c r="B12" s="63" t="s">
        <v>53</v>
      </c>
      <c r="C12" s="73" t="s">
        <v>19</v>
      </c>
      <c r="D12" s="25" t="s">
        <v>7</v>
      </c>
      <c r="E12" s="38"/>
      <c r="F12" s="8" t="str">
        <f t="shared" si="0"/>
        <v>Values must be 0, 1, 2, or 'na'.</v>
      </c>
    </row>
    <row r="13" spans="1:6" x14ac:dyDescent="0.25">
      <c r="A13" s="16" t="s">
        <v>117</v>
      </c>
      <c r="B13" s="58"/>
      <c r="C13" s="74"/>
      <c r="D13" s="25" t="s">
        <v>10</v>
      </c>
      <c r="E13" s="38"/>
      <c r="F13" s="8" t="str">
        <f t="shared" si="0"/>
        <v>Values must be 0, 1, 2, or 'na'.</v>
      </c>
    </row>
    <row r="14" spans="1:6" x14ac:dyDescent="0.25">
      <c r="A14" s="16" t="s">
        <v>118</v>
      </c>
      <c r="B14" s="58"/>
      <c r="C14" s="74"/>
      <c r="D14" s="25" t="s">
        <v>8</v>
      </c>
      <c r="E14" s="38"/>
      <c r="F14" s="8" t="str">
        <f t="shared" si="0"/>
        <v>Values must be 0, 1, 2, or 'na'.</v>
      </c>
    </row>
    <row r="15" spans="1:6" x14ac:dyDescent="0.25">
      <c r="A15" s="24" t="s">
        <v>74</v>
      </c>
      <c r="B15" s="64"/>
      <c r="C15" s="75"/>
      <c r="D15" s="25" t="s">
        <v>9</v>
      </c>
      <c r="E15" s="38"/>
      <c r="F15" s="8" t="str">
        <f t="shared" si="0"/>
        <v>Values must be 0, 1, 2, or 'na'.</v>
      </c>
    </row>
    <row r="16" spans="1:6" x14ac:dyDescent="0.25">
      <c r="A16" s="17" t="s">
        <v>119</v>
      </c>
      <c r="B16" s="65" t="s">
        <v>51</v>
      </c>
      <c r="C16" s="70" t="s">
        <v>20</v>
      </c>
      <c r="D16" s="26" t="s">
        <v>13</v>
      </c>
      <c r="E16" s="38"/>
      <c r="F16" s="8" t="str">
        <f>IF(E16="", "Values must be 0, 1, 2, or 'na'.", IF(E16=0,"No active motion",IF(E16=1,"Knee flexion NOT beyond 90; OR hip flexes during movement",IF(E16=2,"Knee flexion beyond 90","Values must be 0, 1, 2, or 'na'."))))</f>
        <v>Values must be 0, 1, 2, or 'na'.</v>
      </c>
    </row>
    <row r="17" spans="1:6" x14ac:dyDescent="0.25">
      <c r="A17" s="30" t="s">
        <v>120</v>
      </c>
      <c r="B17" s="67"/>
      <c r="C17" s="72"/>
      <c r="D17" s="26" t="s">
        <v>14</v>
      </c>
      <c r="E17" s="38"/>
      <c r="F17" s="8" t="str">
        <f>IF(E17="", "Values must be 0, 1, 2, or 'na'.", IF(E17=0,"No active motion",IF(E17=1,"Incomplete dorsiflexion; Heel must remain on floor",IF(E17=2,"Normal dorsiflexion; Heel must remain on floor","Values must be 0, 1, 2, or 'na'."))))</f>
        <v>Values must be 0, 1, 2, or 'na'.</v>
      </c>
    </row>
    <row r="18" spans="1:6" x14ac:dyDescent="0.25">
      <c r="A18" s="21" t="s">
        <v>121</v>
      </c>
      <c r="B18" s="63" t="s">
        <v>54</v>
      </c>
      <c r="C18" s="73" t="s">
        <v>21</v>
      </c>
      <c r="D18" s="25" t="s">
        <v>22</v>
      </c>
      <c r="E18" s="38"/>
      <c r="F18" s="8" t="str">
        <f>IF(E18="", "Values must be 0, 1, 2, or 'na'.", IF(E18=0,"Knee cannot flex without hip extension",IF(E18=1,"Knee flexion does not reach 90 OR hip flexes",IF(E18=2,"Knee flexion beyond 90; NO hip flexion","Values must be 0, 1, 2, or 'na'."))))</f>
        <v>Values must be 0, 1, 2, or 'na'.</v>
      </c>
    </row>
    <row r="19" spans="1:6" x14ac:dyDescent="0.25">
      <c r="A19" s="23" t="s">
        <v>122</v>
      </c>
      <c r="B19" s="64"/>
      <c r="C19" s="75"/>
      <c r="D19" s="25" t="s">
        <v>14</v>
      </c>
      <c r="E19" s="38"/>
      <c r="F19" s="8" t="str">
        <f>IF(E19="", "Values must be 0, 1, 2, or 'na'.", IF(E19=0,"No active motion",IF(E19=1,"Partial motion",IF(E19=2,"Full motion","Values must be 0, 1, 2, or 'na'."))))</f>
        <v>Values must be 0, 1, 2, or 'na'.</v>
      </c>
    </row>
    <row r="20" spans="1:6" ht="30" x14ac:dyDescent="0.25">
      <c r="A20" s="33" t="s">
        <v>123</v>
      </c>
      <c r="B20" s="34" t="s">
        <v>24</v>
      </c>
      <c r="C20" s="37" t="s">
        <v>20</v>
      </c>
      <c r="D20" s="26" t="s">
        <v>24</v>
      </c>
      <c r="E20" s="38"/>
      <c r="F20" s="35" t="str">
        <f>IF(E20="", "Values must be 0, 1, 2, or 'na'.", IF(E20=0,"At least 2 of the 3 phasic reflexes are markedly hyperactive",IF(E20=1,"One reflex is markedly hyperactive",IF(E20=2,"No more than one reflex is lively and none are hyperactive","Values must be 0, 1, 2, or 'na'."))))</f>
        <v>Values must be 0, 1, 2, or 'na'.</v>
      </c>
    </row>
    <row r="21" spans="1:6" x14ac:dyDescent="0.25">
      <c r="A21" s="15" t="s">
        <v>124</v>
      </c>
      <c r="B21" s="58" t="s">
        <v>55</v>
      </c>
      <c r="C21" s="73" t="s">
        <v>20</v>
      </c>
      <c r="D21" s="25" t="s">
        <v>25</v>
      </c>
      <c r="E21" s="38"/>
      <c r="F21" s="8" t="str">
        <f>IF(E21="", "Values must be 0, 1, 2, or 'na'.", IF(E21=0,"Marked Tremor",IF(E21=1,"Slight Tremor",IF(E21=2,"No evident tremor","Values must be 0, 1, 2, or 'na'."))))</f>
        <v>Values must be 0, 1, 2, or 'na'.</v>
      </c>
    </row>
    <row r="22" spans="1:6" x14ac:dyDescent="0.25">
      <c r="A22" s="15" t="s">
        <v>125</v>
      </c>
      <c r="B22" s="58"/>
      <c r="C22" s="74"/>
      <c r="D22" s="25" t="s">
        <v>26</v>
      </c>
      <c r="E22" s="38"/>
      <c r="F22" s="8" t="str">
        <f>IF(E22="", "Values must be 0, 1, 2, or 'na'.", IF(E22=0,"Pronounced or unsystematic dysmetria",IF(E22=1,"Slight or systematic dysmetria",IF(E22=2,"No evident dysmetria","Values must be 0, 1, 2, or 'na'."))))</f>
        <v>Values must be 0, 1, 2, or 'na'.</v>
      </c>
    </row>
    <row r="23" spans="1:6" ht="15.75" thickBot="1" x14ac:dyDescent="0.3">
      <c r="A23" s="19" t="s">
        <v>126</v>
      </c>
      <c r="B23" s="59"/>
      <c r="C23" s="76"/>
      <c r="D23" s="32" t="s">
        <v>27</v>
      </c>
      <c r="E23" s="39"/>
      <c r="F23" s="9" t="str">
        <f>IF(E23="", "Values must be 0, 1, 2, or 'na'.", IF(E23=0,"Six-seconds longer than unaffected leg",IF(E23=1,"2-5.9 s longer than unaffected leg",IF(E23=2,"Less than 2 s different from unaffected leg","Values must be 0, 1, 2, or 'na'."))))</f>
        <v>Values must be 0, 1, 2, or 'na'.</v>
      </c>
    </row>
    <row r="24" spans="1:6" ht="15.75" thickBot="1" x14ac:dyDescent="0.3"/>
    <row r="25" spans="1:6" ht="15.75" thickBot="1" x14ac:dyDescent="0.3">
      <c r="E25" s="46">
        <f>SUM(E7:E23)</f>
        <v>0</v>
      </c>
      <c r="F25" s="47" t="s">
        <v>95</v>
      </c>
    </row>
    <row r="26" spans="1:6" ht="15.75" thickBot="1" x14ac:dyDescent="0.3">
      <c r="E26" s="49">
        <f>E25+FMA_UE!E41</f>
        <v>0</v>
      </c>
      <c r="F26" t="s">
        <v>97</v>
      </c>
    </row>
  </sheetData>
  <mergeCells count="13">
    <mergeCell ref="B21:B23"/>
    <mergeCell ref="A1:F1"/>
    <mergeCell ref="B7:B8"/>
    <mergeCell ref="B9:B11"/>
    <mergeCell ref="B12:B15"/>
    <mergeCell ref="B16:B17"/>
    <mergeCell ref="B18:B19"/>
    <mergeCell ref="C7:C8"/>
    <mergeCell ref="C9:C11"/>
    <mergeCell ref="C12:C15"/>
    <mergeCell ref="C16:C17"/>
    <mergeCell ref="C18:C19"/>
    <mergeCell ref="C21:C23"/>
  </mergeCells>
  <pageMargins left="0.7" right="0.7" top="0.75" bottom="0.75" header="0.3" footer="0.3"/>
  <pageSetup orientation="portrait" horizontalDpi="1200" verticalDpi="1200" r:id="rId1"/>
  <ignoredErrors>
    <ignoredError sqref="F2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2"/>
  <sheetViews>
    <sheetView topLeftCell="A16" workbookViewId="0">
      <selection activeCell="C4" sqref="C4"/>
    </sheetView>
  </sheetViews>
  <sheetFormatPr defaultRowHeight="15" x14ac:dyDescent="0.25"/>
  <cols>
    <col min="1" max="1" width="11.85546875" customWidth="1"/>
    <col min="2" max="2" width="20.85546875" customWidth="1"/>
    <col min="3" max="3" width="19.42578125" bestFit="1" customWidth="1"/>
    <col min="4" max="4" width="26.7109375" bestFit="1" customWidth="1"/>
    <col min="6" max="6" width="56.140625" bestFit="1" customWidth="1"/>
  </cols>
  <sheetData>
    <row r="1" spans="1:6" ht="18" customHeight="1" thickBot="1" x14ac:dyDescent="0.35">
      <c r="A1" s="60" t="s">
        <v>28</v>
      </c>
      <c r="B1" s="77"/>
      <c r="C1" s="77"/>
      <c r="D1" s="77"/>
      <c r="E1" s="77"/>
      <c r="F1" s="78"/>
    </row>
    <row r="2" spans="1:6" ht="18.75" x14ac:dyDescent="0.3">
      <c r="A2" s="14" t="s">
        <v>32</v>
      </c>
      <c r="B2" s="3"/>
      <c r="C2" s="3"/>
      <c r="D2" s="3"/>
      <c r="E2" s="3"/>
      <c r="F2" s="4"/>
    </row>
    <row r="3" spans="1:6" x14ac:dyDescent="0.25">
      <c r="A3" s="5" t="s">
        <v>30</v>
      </c>
      <c r="B3" s="2" t="str">
        <f>FMA_LE!B3</f>
        <v>ABC123</v>
      </c>
      <c r="C3" s="3"/>
      <c r="D3" s="3"/>
      <c r="E3" s="3"/>
      <c r="F3" s="4"/>
    </row>
    <row r="4" spans="1:6" x14ac:dyDescent="0.25">
      <c r="A4" s="5" t="s">
        <v>31</v>
      </c>
      <c r="B4" s="10" t="str">
        <f>FMA_LE!B4</f>
        <v>2018_06_11</v>
      </c>
      <c r="C4" s="3" t="s">
        <v>176</v>
      </c>
      <c r="D4" s="3"/>
      <c r="E4" s="3"/>
      <c r="F4" s="4"/>
    </row>
    <row r="5" spans="1:6" x14ac:dyDescent="0.25">
      <c r="A5" s="5"/>
      <c r="B5" s="3"/>
      <c r="C5" s="3"/>
      <c r="D5" s="3"/>
      <c r="E5" s="3"/>
      <c r="F5" s="4"/>
    </row>
    <row r="6" spans="1:6" x14ac:dyDescent="0.25">
      <c r="A6" s="12" t="s">
        <v>0</v>
      </c>
      <c r="B6" s="6" t="s">
        <v>45</v>
      </c>
      <c r="C6" s="6" t="s">
        <v>15</v>
      </c>
      <c r="D6" s="6" t="s">
        <v>16</v>
      </c>
      <c r="E6" s="6" t="s">
        <v>12</v>
      </c>
      <c r="F6" s="7" t="s">
        <v>11</v>
      </c>
    </row>
    <row r="7" spans="1:6" x14ac:dyDescent="0.25">
      <c r="A7" s="21" t="s">
        <v>127</v>
      </c>
      <c r="B7" s="63" t="s">
        <v>1</v>
      </c>
      <c r="C7" s="73" t="s">
        <v>20</v>
      </c>
      <c r="D7" s="25" t="s">
        <v>34</v>
      </c>
      <c r="E7" s="38"/>
      <c r="F7" s="41" t="str">
        <f>IF(E7="","Values must be 0, 2, or 'na'.", IF(E7=0, "No reflex activity can be elicited",IF(E7=2,"Reflex activity can be Elicited", "Values must be 0, 2, or 'na'.")))</f>
        <v>Values must be 0, 2, or 'na'.</v>
      </c>
    </row>
    <row r="8" spans="1:6" x14ac:dyDescent="0.25">
      <c r="A8" s="23" t="s">
        <v>128</v>
      </c>
      <c r="B8" s="64"/>
      <c r="C8" s="75"/>
      <c r="D8" s="25" t="s">
        <v>35</v>
      </c>
      <c r="E8" s="38"/>
      <c r="F8" s="41" t="str">
        <f>IF(E8="","Values must be 0, 2, or 'na'.", IF(E8=0, "No reflex activity can be elicited",IF(E8=2,"Reflex activity can be Elicited", "Values must be 0, 2, or 'na'.")))</f>
        <v>Values must be 0, 2, or 'na'.</v>
      </c>
    </row>
    <row r="9" spans="1:6" x14ac:dyDescent="0.25">
      <c r="A9" s="29" t="s">
        <v>129</v>
      </c>
      <c r="B9" s="65" t="s">
        <v>4</v>
      </c>
      <c r="C9" s="70" t="s">
        <v>20</v>
      </c>
      <c r="D9" s="26" t="s">
        <v>38</v>
      </c>
      <c r="E9" s="38"/>
      <c r="F9" s="41" t="str">
        <f t="shared" ref="F9:F17" si="0">IF(E9="", "Values must be 0, 1, 2, or 'na'.", IF(E9=0,"Cannot be performed",IF(E9=1,"Performed Partly",IF(E9=2,"Performed faultlessly","Values must be 0, 1, 2, or 'na'."))))</f>
        <v>Values must be 0, 1, 2, or 'na'.</v>
      </c>
    </row>
    <row r="10" spans="1:6" x14ac:dyDescent="0.25">
      <c r="A10" s="17" t="s">
        <v>130</v>
      </c>
      <c r="B10" s="66"/>
      <c r="C10" s="71"/>
      <c r="D10" s="26" t="s">
        <v>39</v>
      </c>
      <c r="E10" s="38"/>
      <c r="F10" s="41" t="str">
        <f t="shared" si="0"/>
        <v>Values must be 0, 1, 2, or 'na'.</v>
      </c>
    </row>
    <row r="11" spans="1:6" x14ac:dyDescent="0.25">
      <c r="A11" s="17" t="s">
        <v>131</v>
      </c>
      <c r="B11" s="66"/>
      <c r="C11" s="71"/>
      <c r="D11" s="26" t="s">
        <v>40</v>
      </c>
      <c r="E11" s="38"/>
      <c r="F11" s="41" t="str">
        <f t="shared" si="0"/>
        <v>Values must be 0, 1, 2, or 'na'.</v>
      </c>
    </row>
    <row r="12" spans="1:6" x14ac:dyDescent="0.25">
      <c r="A12" s="17" t="s">
        <v>132</v>
      </c>
      <c r="B12" s="66"/>
      <c r="C12" s="71"/>
      <c r="D12" s="26" t="s">
        <v>41</v>
      </c>
      <c r="E12" s="38"/>
      <c r="F12" s="41" t="str">
        <f t="shared" si="0"/>
        <v>Values must be 0, 1, 2, or 'na'.</v>
      </c>
    </row>
    <row r="13" spans="1:6" x14ac:dyDescent="0.25">
      <c r="A13" s="17" t="s">
        <v>133</v>
      </c>
      <c r="B13" s="66"/>
      <c r="C13" s="71"/>
      <c r="D13" s="26" t="s">
        <v>42</v>
      </c>
      <c r="E13" s="38"/>
      <c r="F13" s="41" t="str">
        <f t="shared" si="0"/>
        <v>Values must be 0, 1, 2, or 'na'.</v>
      </c>
    </row>
    <row r="14" spans="1:6" x14ac:dyDescent="0.25">
      <c r="A14" s="30" t="s">
        <v>134</v>
      </c>
      <c r="B14" s="67"/>
      <c r="C14" s="72"/>
      <c r="D14" s="26" t="s">
        <v>43</v>
      </c>
      <c r="E14" s="38"/>
      <c r="F14" s="41" t="str">
        <f t="shared" si="0"/>
        <v>Values must be 0, 1, 2, or 'na'.</v>
      </c>
    </row>
    <row r="15" spans="1:6" x14ac:dyDescent="0.25">
      <c r="A15" s="21" t="s">
        <v>135</v>
      </c>
      <c r="B15" s="63" t="s">
        <v>50</v>
      </c>
      <c r="C15" s="73" t="s">
        <v>20</v>
      </c>
      <c r="D15" s="25" t="s">
        <v>36</v>
      </c>
      <c r="E15" s="38"/>
      <c r="F15" s="41" t="str">
        <f t="shared" si="0"/>
        <v>Values must be 0, 1, 2, or 'na'.</v>
      </c>
    </row>
    <row r="16" spans="1:6" x14ac:dyDescent="0.25">
      <c r="A16" s="15" t="s">
        <v>136</v>
      </c>
      <c r="B16" s="58"/>
      <c r="C16" s="74"/>
      <c r="D16" s="25" t="s">
        <v>37</v>
      </c>
      <c r="E16" s="38"/>
      <c r="F16" s="41" t="str">
        <f t="shared" si="0"/>
        <v>Values must be 0, 1, 2, or 'na'.</v>
      </c>
    </row>
    <row r="17" spans="1:6" x14ac:dyDescent="0.25">
      <c r="A17" s="23" t="s">
        <v>137</v>
      </c>
      <c r="B17" s="64"/>
      <c r="C17" s="75"/>
      <c r="D17" s="25" t="s">
        <v>44</v>
      </c>
      <c r="E17" s="38"/>
      <c r="F17" s="41" t="str">
        <f t="shared" si="0"/>
        <v>Values must be 0, 1, 2, or 'na'.</v>
      </c>
    </row>
    <row r="18" spans="1:6" x14ac:dyDescent="0.25">
      <c r="A18" s="29" t="s">
        <v>138</v>
      </c>
      <c r="B18" s="65" t="s">
        <v>51</v>
      </c>
      <c r="C18" s="70" t="s">
        <v>20</v>
      </c>
      <c r="D18" s="26" t="s">
        <v>46</v>
      </c>
      <c r="E18" s="38"/>
      <c r="F18" s="41" t="str">
        <f>IF(E18="", "Values must be 0, 1, 2, or 'na'.", IF(E18=0,"Cannot pass ASIS",IF(E18=1,"Performed Partly ; Hand clears ASIS",IF(E18=2,"Performed faultlessly; Hand clears ASIS, extends toward sacrum","Values must be 0, 1, 2, or 'na'."))))</f>
        <v>Values must be 0, 1, 2, or 'na'.</v>
      </c>
    </row>
    <row r="19" spans="1:6" x14ac:dyDescent="0.25">
      <c r="A19" s="17" t="s">
        <v>139</v>
      </c>
      <c r="B19" s="66"/>
      <c r="C19" s="71"/>
      <c r="D19" s="26" t="s">
        <v>47</v>
      </c>
      <c r="E19" s="38"/>
      <c r="F19" s="41" t="str">
        <f>IF(E19="", "Values must be 0, 1, 2, or 'na'.", IF(E19=0,"Cannot perform; Elbow flexes immediately",IF(E19=1,"Partly Performed; Elbow flexion occurs late in movement",IF(E19=2,"Faultlessly Performed; Shoulder flexed with elbow extended","Values must be 0, 1, 2, or 'na'."))))</f>
        <v>Values must be 0, 1, 2, or 'na'.</v>
      </c>
    </row>
    <row r="20" spans="1:6" ht="30" x14ac:dyDescent="0.25">
      <c r="A20" s="30" t="s">
        <v>140</v>
      </c>
      <c r="B20" s="67"/>
      <c r="C20" s="72"/>
      <c r="D20" s="27" t="s">
        <v>48</v>
      </c>
      <c r="E20" s="38"/>
      <c r="F20" s="41" t="str">
        <f>IF(E20="", "Values must be 0, 1, 2, or 'na'.", IF(E20=0,"Cannot hold correct position; Cannot pronate/supinate",IF(E20=1,"Pronation/supination performed with limited range of motion",IF(E20=2,"Complete pronation/supination with arm held in correct position","Values must be 0, 1, 2, or 'na'."))))</f>
        <v>Values must be 0, 1, 2, or 'na'.</v>
      </c>
    </row>
    <row r="21" spans="1:6" ht="30" customHeight="1" x14ac:dyDescent="0.25">
      <c r="A21" s="21" t="s">
        <v>141</v>
      </c>
      <c r="B21" s="63" t="s">
        <v>49</v>
      </c>
      <c r="C21" s="73" t="s">
        <v>20</v>
      </c>
      <c r="D21" s="28" t="s">
        <v>40</v>
      </c>
      <c r="E21" s="38"/>
      <c r="F21" s="41" t="str">
        <f>IF(E21="", "Values must be 0, 1, 2, or 'na'.", IF(E21=0,"Elbow flexion occurs; Any deviation from pronation",IF(E21=1,"Partially performed; elbow flexion occurs late",IF(E21=2,"Performed faultlessly","Values must be 0, 1, 2, or 'na'."))))</f>
        <v>Values must be 0, 1, 2, or 'na'.</v>
      </c>
    </row>
    <row r="22" spans="1:6" x14ac:dyDescent="0.25">
      <c r="A22" s="15" t="s">
        <v>142</v>
      </c>
      <c r="B22" s="58"/>
      <c r="C22" s="74"/>
      <c r="D22" s="25" t="s">
        <v>56</v>
      </c>
      <c r="E22" s="38"/>
      <c r="F22" s="41" t="str">
        <f>IF(E22="", "Values must be 0, 1, 2, or 'na'.", IF(E22=0,"Elbow flexion/shoulder abduction occurs immediately",IF(E22=1,"Elbow flexion/shoulder abduction occurs late",IF(E22=2,"Performed faultlessly","Values must be 0, 1, 2, or 'na'."))))</f>
        <v>Values must be 0, 1, 2, or 'na'.</v>
      </c>
    </row>
    <row r="23" spans="1:6" ht="45" x14ac:dyDescent="0.25">
      <c r="A23" s="23" t="s">
        <v>143</v>
      </c>
      <c r="B23" s="64"/>
      <c r="C23" s="75"/>
      <c r="D23" s="40" t="s">
        <v>57</v>
      </c>
      <c r="E23" s="38"/>
      <c r="F23" s="41" t="str">
        <f>IF(E23="", "Values must be 0, 1, 2, or 'na'.", IF(E23=0,"Supination/pronation cannot be performed at all",IF(E23=1,"Elbow and shoulder in proper position;Supination performed with limited range",IF(E23=2,"Performed faultlessly","Values must be 0, 1, 2, or 'na'."))))</f>
        <v>Values must be 0, 1, 2, or 'na'.</v>
      </c>
    </row>
    <row r="24" spans="1:6" ht="32.25" customHeight="1" x14ac:dyDescent="0.25">
      <c r="A24" s="33" t="s">
        <v>144</v>
      </c>
      <c r="B24" s="36" t="s">
        <v>24</v>
      </c>
      <c r="C24" s="44" t="s">
        <v>20</v>
      </c>
      <c r="D24" s="26" t="s">
        <v>59</v>
      </c>
      <c r="E24" s="38"/>
      <c r="F24" s="41" t="str">
        <f>IF(E24="", "Values must be 0, 1, 2, or 'na'. Only administer if a patient maxes out all previous UE items.", IF(E24=0,"At least 2/3 reflexes are markedly hyper active",IF(E24=1,"One reflex is markedly hyperactive, or at least two are lively",IF(E24=2,"No reflexes are hyperactive, no more than one is lively","Values must be 0, 1, 2, or 'na'. Only administer if a patient maxes out all previous UE items."))))</f>
        <v>Values must be 0, 1, 2, or 'na'. Only administer if a patient maxes out all previous UE items.</v>
      </c>
    </row>
    <row r="25" spans="1:6" x14ac:dyDescent="0.25">
      <c r="A25" s="15" t="s">
        <v>145</v>
      </c>
      <c r="B25" s="82" t="s">
        <v>60</v>
      </c>
      <c r="C25" s="73" t="s">
        <v>20</v>
      </c>
      <c r="D25" s="42" t="s">
        <v>61</v>
      </c>
      <c r="E25" s="43"/>
      <c r="F25" s="41" t="str">
        <f>IF(E25="", "Values must be 0, 1, 2, or 'na'.", IF(E25=0,"Patient cannot dorsiflex wrist as required",IF(E25=1,"Dorsiflexion accomplished without resistance",IF(E25=2,"Position maintained with slight resistance","Values must be 0, 1, 2, or 'na'."))))</f>
        <v>Values must be 0, 1, 2, or 'na'.</v>
      </c>
    </row>
    <row r="26" spans="1:6" x14ac:dyDescent="0.25">
      <c r="A26" s="15" t="s">
        <v>146</v>
      </c>
      <c r="B26" s="83"/>
      <c r="C26" s="74"/>
      <c r="D26" s="42" t="s">
        <v>62</v>
      </c>
      <c r="E26" s="43"/>
      <c r="F26" s="41" t="str">
        <f>IF(E26="", "Values must be 0, 1, 2, or 'na'.", IF(E26=0,"Volitional movement does not occur",IF(E26=1,"Patient cannot actively move through full range of motion",IF(E26=2,"Active smooth movement through full range of motion","Values must be 0, 1, 2, or 'na'."))))</f>
        <v>Values must be 0, 1, 2, or 'na'.</v>
      </c>
    </row>
    <row r="27" spans="1:6" x14ac:dyDescent="0.25">
      <c r="A27" s="15" t="s">
        <v>147</v>
      </c>
      <c r="B27" s="83"/>
      <c r="C27" s="74"/>
      <c r="D27" s="42" t="s">
        <v>63</v>
      </c>
      <c r="E27" s="43"/>
      <c r="F27" s="41" t="str">
        <f>IF(E27="", "Values must be 0, 1, 2, or 'na'.", IF(E27=0,"Patient cannot dorsiflex wrist as required",IF(E27=1,"Dorsiflexion accomplished without resistance",IF(E27=2,"Position maintained with slight resistance","Values must be 0, 1, 2, or 'na'."))))</f>
        <v>Values must be 0, 1, 2, or 'na'.</v>
      </c>
    </row>
    <row r="28" spans="1:6" x14ac:dyDescent="0.25">
      <c r="A28" s="15" t="s">
        <v>148</v>
      </c>
      <c r="B28" s="83"/>
      <c r="C28" s="74"/>
      <c r="D28" s="42" t="s">
        <v>64</v>
      </c>
      <c r="E28" s="43"/>
      <c r="F28" s="41" t="str">
        <f>IF(E28="", "Values must be 0, 1, 2, or 'na'.", IF(E28=0,"Volitional movement does not occur",IF(E28=1,"Patient cannot actively move through full range of motion",IF(E28=2,"Active smooth movement through full range of motion","Values must be 0, 1, 2, or 'na'."))))</f>
        <v>Values must be 0, 1, 2, or 'na'.</v>
      </c>
    </row>
    <row r="29" spans="1:6" x14ac:dyDescent="0.25">
      <c r="A29" s="23" t="s">
        <v>149</v>
      </c>
      <c r="B29" s="84"/>
      <c r="C29" s="75"/>
      <c r="D29" s="42" t="s">
        <v>65</v>
      </c>
      <c r="E29" s="43"/>
      <c r="F29" s="41" t="str">
        <f>IF(E29="", "Values must be 0, 1, 2, or 'na'.", IF(E29=0,"Movement cannot be performed",IF(E29=1,"Jerky OR incomplete circumduction",IF(E29=2,"Smooth AND complete motion","Values must be 0, 1, 2, or 'na'."))))</f>
        <v>Values must be 0, 1, 2, or 'na'.</v>
      </c>
    </row>
    <row r="30" spans="1:6" x14ac:dyDescent="0.25">
      <c r="A30" s="17" t="s">
        <v>150</v>
      </c>
      <c r="B30" s="79" t="s">
        <v>66</v>
      </c>
      <c r="C30" s="70" t="s">
        <v>20</v>
      </c>
      <c r="D30" s="45" t="s">
        <v>67</v>
      </c>
      <c r="E30" s="43"/>
      <c r="F30" s="41" t="str">
        <f>IF(E30="", "Values must be 0, 1, 2, or 'na'.", IF(E30=0,"No flexion occurs",IF(E30=1,"Some flexion; incomplete range of motion",IF(E30=2,"Complete active flexion (compared to unaffected hand)","Values must be 0, 1, 2, or 'na'."))))</f>
        <v>Values must be 0, 1, 2, or 'na'.</v>
      </c>
    </row>
    <row r="31" spans="1:6" x14ac:dyDescent="0.25">
      <c r="A31" s="17" t="s">
        <v>151</v>
      </c>
      <c r="B31" s="80"/>
      <c r="C31" s="71"/>
      <c r="D31" s="45" t="s">
        <v>68</v>
      </c>
      <c r="E31" s="43"/>
      <c r="F31" s="41" t="str">
        <f>IF(E31="", "Values must be 0, 1, 2, or 'na'.", IF(E31=0,"No extension occurs",IF(E31=1,"Patient can release mass flexion grasp",IF(E31=2,"Complete active extension (compared to unaffected hand)","Values must be 0, 1, 2, or 'na'."))))</f>
        <v>Values must be 0, 1, 2, or 'na'.</v>
      </c>
    </row>
    <row r="32" spans="1:6" x14ac:dyDescent="0.25">
      <c r="A32" s="17" t="s">
        <v>152</v>
      </c>
      <c r="B32" s="80"/>
      <c r="C32" s="71"/>
      <c r="D32" s="45" t="s">
        <v>69</v>
      </c>
      <c r="E32" s="43"/>
      <c r="F32" s="41" t="str">
        <f>IF(E32="", "Values must be 0, 1, 2, or 'na'.", IF(E32=0,"Required position not attained",IF(E32=1,"Grasp is weak",IF(E32=2,"Grasp maintained against resistance","Values must be 0, 1, 2, or 'na'."))))</f>
        <v>Values must be 0, 1, 2, or 'na'.</v>
      </c>
    </row>
    <row r="33" spans="1:6" x14ac:dyDescent="0.25">
      <c r="A33" s="17" t="s">
        <v>153</v>
      </c>
      <c r="B33" s="80"/>
      <c r="C33" s="71"/>
      <c r="D33" s="45" t="s">
        <v>70</v>
      </c>
      <c r="E33" s="43"/>
      <c r="F33" s="41" t="str">
        <f>IF(E33="", "Values must be 0, 1, 2, or 'na'.", IF(E33=0,"Required position not attained",IF(E33=1,"Grasp is weak",IF(E33=2,"Grasp maintained against resistance","Values must be 0, 1, 2, or 'na'."))))</f>
        <v>Values must be 0, 1, 2, or 'na'.</v>
      </c>
    </row>
    <row r="34" spans="1:6" x14ac:dyDescent="0.25">
      <c r="A34" s="17" t="s">
        <v>154</v>
      </c>
      <c r="B34" s="80"/>
      <c r="C34" s="71"/>
      <c r="D34" s="45" t="s">
        <v>71</v>
      </c>
      <c r="E34" s="43"/>
      <c r="F34" s="41" t="str">
        <f>IF(E34="", "Values must be 0, 1, 2, or 'na'.", IF(E34=0,"Required position not attained",IF(E34=1,"Grasp is weak",IF(E34=2,"Grasp maintained against resistance","Values must be 0, 1, 2, or 'na'."))))</f>
        <v>Values must be 0, 1, 2, or 'na'.</v>
      </c>
    </row>
    <row r="35" spans="1:6" x14ac:dyDescent="0.25">
      <c r="A35" s="17" t="s">
        <v>155</v>
      </c>
      <c r="B35" s="80"/>
      <c r="C35" s="71"/>
      <c r="D35" s="45" t="s">
        <v>72</v>
      </c>
      <c r="E35" s="43"/>
      <c r="F35" s="41" t="str">
        <f>IF(E35="", "Values must be 0, 1, 2, or 'na'.", IF(E35=0,"Required position not attained",IF(E35=1,"Grasp is weak",IF(E35=2,"Grasp maintained against resistance","Values must be 0, 1, 2, or 'na'."))))</f>
        <v>Values must be 0, 1, 2, or 'na'.</v>
      </c>
    </row>
    <row r="36" spans="1:6" x14ac:dyDescent="0.25">
      <c r="A36" s="30" t="s">
        <v>156</v>
      </c>
      <c r="B36" s="81"/>
      <c r="C36" s="72"/>
      <c r="D36" s="45" t="s">
        <v>73</v>
      </c>
      <c r="E36" s="43"/>
      <c r="F36" s="41" t="str">
        <f>IF(E36="", "Values must be 0, 1, 2, or 'na'.", IF(E36=0,"Required position not attained",IF(E36=1,"Grasp is weak",IF(E36=2,"Grasp maintained against resistance","Values must be 0, 1, 2, or 'na'."))))</f>
        <v>Values must be 0, 1, 2, or 'na'.</v>
      </c>
    </row>
    <row r="37" spans="1:6" x14ac:dyDescent="0.25">
      <c r="A37" s="15" t="s">
        <v>157</v>
      </c>
      <c r="B37" s="16" t="s">
        <v>75</v>
      </c>
      <c r="C37" s="16" t="s">
        <v>20</v>
      </c>
      <c r="D37" s="42" t="s">
        <v>76</v>
      </c>
      <c r="E37" s="43"/>
      <c r="F37" s="41" t="str">
        <f>IF(E37="", "Values must be 0, 1, 2, or 'na'.", IF(E37=0,"Marked tremor",IF(E37=1,"Slight tremor",IF(E37=2,"No tremor","Values must be 0, 1, 2, or 'na'."))))</f>
        <v>Values must be 0, 1, 2, or 'na'.</v>
      </c>
    </row>
    <row r="38" spans="1:6" x14ac:dyDescent="0.25">
      <c r="A38" s="15" t="s">
        <v>158</v>
      </c>
      <c r="B38" s="16"/>
      <c r="C38" s="16"/>
      <c r="D38" s="42" t="s">
        <v>77</v>
      </c>
      <c r="E38" s="43"/>
      <c r="F38" s="41" t="str">
        <f>IF(E38="", "Values must be 0, 1, 2, or 'na'.", IF(E38=0,"Pronounce OR unsystematic dysmetria",IF(E38=1,"Slight OR systematic dysmetria",IF(E38=2,"No dysmetria","Values must be 0, 1, 2, or 'na'."))))</f>
        <v>Values must be 0, 1, 2, or 'na'.</v>
      </c>
    </row>
    <row r="39" spans="1:6" ht="15.75" thickBot="1" x14ac:dyDescent="0.3">
      <c r="A39" s="19" t="s">
        <v>159</v>
      </c>
      <c r="B39" s="20"/>
      <c r="C39" s="20"/>
      <c r="D39" s="32" t="s">
        <v>78</v>
      </c>
      <c r="E39" s="39"/>
      <c r="F39" s="9" t="str">
        <f>IF(E39="", "Values must be 0, 1, 2, or 'na'.", IF(E39=0,"Six-seconds longer than unaffected leg",IF(E39=1,"2-5.9 s longer than unaffected leg",IF(E39=2,"Less than 2 s different from unaffected leg","Values must be 0, 1, 2, or 'na'."))))</f>
        <v>Values must be 0, 1, 2, or 'na'.</v>
      </c>
    </row>
    <row r="40" spans="1:6" ht="15.75" thickBot="1" x14ac:dyDescent="0.3"/>
    <row r="41" spans="1:6" ht="15.75" thickBot="1" x14ac:dyDescent="0.3">
      <c r="E41" s="48">
        <f>SUM(E7:E39)</f>
        <v>0</v>
      </c>
      <c r="F41" s="47" t="s">
        <v>96</v>
      </c>
    </row>
    <row r="42" spans="1:6" ht="15.75" thickBot="1" x14ac:dyDescent="0.3">
      <c r="E42" s="49">
        <f>E41+FMA_LE!E25</f>
        <v>0</v>
      </c>
      <c r="F42" t="s">
        <v>97</v>
      </c>
    </row>
  </sheetData>
  <mergeCells count="15">
    <mergeCell ref="B30:B36"/>
    <mergeCell ref="C30:C36"/>
    <mergeCell ref="B21:B23"/>
    <mergeCell ref="C21:C23"/>
    <mergeCell ref="B25:B29"/>
    <mergeCell ref="C25:C29"/>
    <mergeCell ref="C9:C14"/>
    <mergeCell ref="C15:C17"/>
    <mergeCell ref="C18:C20"/>
    <mergeCell ref="A1:F1"/>
    <mergeCell ref="B7:B8"/>
    <mergeCell ref="B9:B14"/>
    <mergeCell ref="B15:B17"/>
    <mergeCell ref="B18:B20"/>
    <mergeCell ref="C7:C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4"/>
  <sheetViews>
    <sheetView workbookViewId="0">
      <selection activeCell="C4" sqref="C4"/>
    </sheetView>
  </sheetViews>
  <sheetFormatPr defaultRowHeight="15" x14ac:dyDescent="0.25"/>
  <cols>
    <col min="1" max="1" width="12.42578125" customWidth="1"/>
    <col min="2" max="2" width="19.140625" customWidth="1"/>
    <col min="3" max="3" width="18.28515625" customWidth="1"/>
    <col min="4" max="4" width="23.42578125" bestFit="1" customWidth="1"/>
    <col min="5" max="5" width="9" customWidth="1"/>
    <col min="6" max="6" width="68" bestFit="1" customWidth="1"/>
  </cols>
  <sheetData>
    <row r="1" spans="1:6" ht="19.5" thickBot="1" x14ac:dyDescent="0.35">
      <c r="A1" s="60" t="s">
        <v>28</v>
      </c>
      <c r="B1" s="61"/>
      <c r="C1" s="61"/>
      <c r="D1" s="61"/>
      <c r="E1" s="61"/>
      <c r="F1" s="62"/>
    </row>
    <row r="2" spans="1:6" ht="18.75" x14ac:dyDescent="0.3">
      <c r="A2" s="13" t="s">
        <v>33</v>
      </c>
      <c r="B2" s="11"/>
      <c r="C2" s="3"/>
      <c r="D2" s="3"/>
      <c r="E2" s="3"/>
      <c r="F2" s="4"/>
    </row>
    <row r="3" spans="1:6" x14ac:dyDescent="0.25">
      <c r="A3" s="5" t="s">
        <v>30</v>
      </c>
      <c r="B3" s="2" t="str">
        <f>FMA_LE!B3</f>
        <v>ABC123</v>
      </c>
      <c r="C3" s="3"/>
      <c r="D3" s="3"/>
      <c r="E3" s="3"/>
      <c r="F3" s="4"/>
    </row>
    <row r="4" spans="1:6" x14ac:dyDescent="0.25">
      <c r="A4" s="5" t="s">
        <v>31</v>
      </c>
      <c r="B4" s="10" t="str">
        <f>FMA_LE!B4</f>
        <v>2018_06_11</v>
      </c>
      <c r="C4" s="3" t="s">
        <v>176</v>
      </c>
      <c r="D4" s="3"/>
      <c r="E4" s="3"/>
      <c r="F4" s="4"/>
    </row>
    <row r="5" spans="1:6" x14ac:dyDescent="0.25">
      <c r="A5" s="5"/>
      <c r="B5" s="3"/>
      <c r="C5" s="3"/>
      <c r="D5" s="3"/>
      <c r="E5" s="3"/>
      <c r="F5" s="4"/>
    </row>
    <row r="6" spans="1:6" x14ac:dyDescent="0.25">
      <c r="A6" s="12" t="s">
        <v>0</v>
      </c>
      <c r="B6" s="6" t="s">
        <v>45</v>
      </c>
      <c r="C6" s="6" t="s">
        <v>15</v>
      </c>
      <c r="D6" s="6" t="s">
        <v>16</v>
      </c>
      <c r="E6" s="6" t="s">
        <v>12</v>
      </c>
      <c r="F6" s="7" t="s">
        <v>11</v>
      </c>
    </row>
    <row r="7" spans="1:6" x14ac:dyDescent="0.25">
      <c r="A7" s="22" t="s">
        <v>160</v>
      </c>
      <c r="B7" s="63" t="s">
        <v>93</v>
      </c>
      <c r="C7" s="73" t="s">
        <v>17</v>
      </c>
      <c r="D7" s="40" t="s">
        <v>81</v>
      </c>
      <c r="E7" s="38"/>
      <c r="F7" s="35" t="str">
        <f>IF(E7="", "Values must be 0, 1, 2, or 'na'.", IF(E7=0,"Sensation absent on affected side",IF(E7=1,"Sensation impaired on affected side",IF(E7=2,"Sensation equivalent between affect/unaffected sides","Values must be 0, 1, 2, or 'na'."))))</f>
        <v>Values must be 0, 1, 2, or 'na'.</v>
      </c>
    </row>
    <row r="8" spans="1:6" x14ac:dyDescent="0.25">
      <c r="A8" s="24" t="s">
        <v>161</v>
      </c>
      <c r="B8" s="64"/>
      <c r="C8" s="75"/>
      <c r="D8" s="40" t="s">
        <v>66</v>
      </c>
      <c r="E8" s="38"/>
      <c r="F8" s="35" t="str">
        <f>IF(E8="", "Values must be 0, 1, 2, or 'na'.", IF(E8=0,"Sensation absent on affected side",IF(E8=1,"Sensation impaired on affected side",IF(E8=2,"Sensation equivalent between affect/unaffected sides","Values must be 0, 1, 2, or 'na'."))))</f>
        <v>Values must be 0, 1, 2, or 'na'.</v>
      </c>
    </row>
    <row r="9" spans="1:6" x14ac:dyDescent="0.25">
      <c r="A9" s="18" t="s">
        <v>162</v>
      </c>
      <c r="B9" s="65" t="s">
        <v>94</v>
      </c>
      <c r="C9" s="70" t="s">
        <v>17</v>
      </c>
      <c r="D9" s="27" t="s">
        <v>82</v>
      </c>
      <c r="E9" s="38"/>
      <c r="F9" s="35" t="str">
        <f>IF(E9="", "Values must be 0, 1, 2, or 'na'.", IF(E9=0,"Sensation absent on affected side",IF(E9=1,"Sensation impaired on affected side",IF(E9=2,"Sensation equivalent between affect/unaffected sides","Values must be 0, 1, 2, or 'na'."))))</f>
        <v>Values must be 0, 1, 2, or 'na'.</v>
      </c>
    </row>
    <row r="10" spans="1:6" x14ac:dyDescent="0.25">
      <c r="A10" s="18" t="s">
        <v>163</v>
      </c>
      <c r="B10" s="67"/>
      <c r="C10" s="72"/>
      <c r="D10" s="27" t="s">
        <v>83</v>
      </c>
      <c r="E10" s="38"/>
      <c r="F10" s="35" t="str">
        <f>IF(E10="", "Values must be 0, 1, 2, or 'na'.", IF(E10=0,"Sensation absent on affected side",IF(E10=1,"Sensation impaired on affected side",IF(E10=2,"Sensation equivalent between affect/unaffected sides","Values must be 0, 1, 2, or 'na'."))))</f>
        <v>Values must be 0, 1, 2, or 'na'.</v>
      </c>
    </row>
    <row r="11" spans="1:6" x14ac:dyDescent="0.25">
      <c r="A11" s="22" t="s">
        <v>164</v>
      </c>
      <c r="B11" s="63" t="s">
        <v>91</v>
      </c>
      <c r="C11" s="73" t="s">
        <v>17</v>
      </c>
      <c r="D11" s="25" t="s">
        <v>84</v>
      </c>
      <c r="E11" s="38"/>
      <c r="F11" s="35" t="str">
        <f t="shared" ref="F11:F18" si="0">IF(E11="", "Values must be 0, 1, 2, or 'na'.", IF(E11=0,"Sensation absent on affected side",IF(E11=1,"Impaired; Inconsistent responses or marked difference to unaffected side",IF(E11=2,"Intact; all answers are correct, little or no difference between sides","Values must be 0, 1, 2, or 'na'."))))</f>
        <v>Values must be 0, 1, 2, or 'na'.</v>
      </c>
    </row>
    <row r="12" spans="1:6" x14ac:dyDescent="0.25">
      <c r="A12" s="16" t="s">
        <v>165</v>
      </c>
      <c r="B12" s="58"/>
      <c r="C12" s="74"/>
      <c r="D12" s="25" t="s">
        <v>85</v>
      </c>
      <c r="E12" s="38"/>
      <c r="F12" s="35" t="str">
        <f t="shared" si="0"/>
        <v>Values must be 0, 1, 2, or 'na'.</v>
      </c>
    </row>
    <row r="13" spans="1:6" x14ac:dyDescent="0.25">
      <c r="A13" s="16" t="s">
        <v>166</v>
      </c>
      <c r="B13" s="58"/>
      <c r="C13" s="74"/>
      <c r="D13" s="25" t="s">
        <v>60</v>
      </c>
      <c r="E13" s="38"/>
      <c r="F13" s="35" t="str">
        <f t="shared" si="0"/>
        <v>Values must be 0, 1, 2, or 'na'.</v>
      </c>
    </row>
    <row r="14" spans="1:6" x14ac:dyDescent="0.25">
      <c r="A14" s="24" t="s">
        <v>167</v>
      </c>
      <c r="B14" s="64"/>
      <c r="C14" s="75"/>
      <c r="D14" s="25" t="s">
        <v>86</v>
      </c>
      <c r="E14" s="38"/>
      <c r="F14" s="35" t="str">
        <f t="shared" si="0"/>
        <v>Values must be 0, 1, 2, or 'na'.</v>
      </c>
    </row>
    <row r="15" spans="1:6" x14ac:dyDescent="0.25">
      <c r="A15" s="18" t="s">
        <v>168</v>
      </c>
      <c r="B15" s="65" t="s">
        <v>92</v>
      </c>
      <c r="C15" s="70" t="s">
        <v>17</v>
      </c>
      <c r="D15" s="26" t="s">
        <v>87</v>
      </c>
      <c r="E15" s="38"/>
      <c r="F15" s="35" t="str">
        <f t="shared" si="0"/>
        <v>Values must be 0, 1, 2, or 'na'.</v>
      </c>
    </row>
    <row r="16" spans="1:6" x14ac:dyDescent="0.25">
      <c r="A16" s="18" t="s">
        <v>169</v>
      </c>
      <c r="B16" s="66"/>
      <c r="C16" s="71"/>
      <c r="D16" s="26" t="s">
        <v>88</v>
      </c>
      <c r="E16" s="38"/>
      <c r="F16" s="35" t="str">
        <f t="shared" si="0"/>
        <v>Values must be 0, 1, 2, or 'na'.</v>
      </c>
    </row>
    <row r="17" spans="1:6" x14ac:dyDescent="0.25">
      <c r="A17" s="18" t="s">
        <v>170</v>
      </c>
      <c r="B17" s="66"/>
      <c r="C17" s="71"/>
      <c r="D17" s="26" t="s">
        <v>89</v>
      </c>
      <c r="E17" s="38"/>
      <c r="F17" s="35" t="str">
        <f t="shared" si="0"/>
        <v>Values must be 0, 1, 2, or 'na'.</v>
      </c>
    </row>
    <row r="18" spans="1:6" x14ac:dyDescent="0.25">
      <c r="A18" s="31" t="s">
        <v>171</v>
      </c>
      <c r="B18" s="67"/>
      <c r="C18" s="72"/>
      <c r="D18" s="26" t="s">
        <v>90</v>
      </c>
      <c r="E18" s="38"/>
      <c r="F18" s="35" t="str">
        <f t="shared" si="0"/>
        <v>Values must be 0, 1, 2, or 'na'.</v>
      </c>
    </row>
    <row r="19" spans="1:6" ht="15.75" thickBot="1" x14ac:dyDescent="0.3"/>
    <row r="20" spans="1:6" ht="15.75" thickBot="1" x14ac:dyDescent="0.3">
      <c r="E20" s="50">
        <f>SUM(E7:E18)</f>
        <v>0</v>
      </c>
      <c r="F20" t="s">
        <v>98</v>
      </c>
    </row>
    <row r="21" spans="1:6" ht="15.75" thickBot="1" x14ac:dyDescent="0.3">
      <c r="E21" s="54">
        <f>FMA_LE!E25+FMA_UE!E41</f>
        <v>0</v>
      </c>
      <c r="F21" t="s">
        <v>100</v>
      </c>
    </row>
    <row r="22" spans="1:6" ht="15.75" thickBot="1" x14ac:dyDescent="0.3">
      <c r="E22" s="53"/>
    </row>
    <row r="23" spans="1:6" ht="15.75" thickBot="1" x14ac:dyDescent="0.3">
      <c r="E23" s="51">
        <f>E20+E21</f>
        <v>0</v>
      </c>
      <c r="F23" s="52" t="s">
        <v>99</v>
      </c>
    </row>
    <row r="24" spans="1:6" x14ac:dyDescent="0.25">
      <c r="F24" s="52"/>
    </row>
  </sheetData>
  <mergeCells count="9">
    <mergeCell ref="B11:B14"/>
    <mergeCell ref="C11:C14"/>
    <mergeCell ref="B15:B18"/>
    <mergeCell ref="C15:C18"/>
    <mergeCell ref="A1:F1"/>
    <mergeCell ref="B7:B8"/>
    <mergeCell ref="C7:C8"/>
    <mergeCell ref="B9:B10"/>
    <mergeCell ref="C9:C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63"/>
  <sheetViews>
    <sheetView tabSelected="1" workbookViewId="0">
      <selection activeCell="R18" sqref="R18"/>
    </sheetView>
  </sheetViews>
  <sheetFormatPr defaultRowHeight="15" x14ac:dyDescent="0.25"/>
  <cols>
    <col min="1" max="5" width="9.140625" style="1"/>
    <col min="6" max="6" width="11.28515625" style="1" bestFit="1" customWidth="1"/>
    <col min="7" max="9" width="9.140625" style="1"/>
    <col min="10" max="10" width="12.28515625" style="1" bestFit="1" customWidth="1"/>
    <col min="11" max="11" width="12.85546875" style="1" bestFit="1" customWidth="1"/>
    <col min="12" max="12" width="15.85546875" style="1" bestFit="1" customWidth="1"/>
    <col min="13" max="13" width="9.140625" style="1"/>
  </cols>
  <sheetData>
    <row r="1" spans="1:13" x14ac:dyDescent="0.25">
      <c r="A1" s="55" t="s">
        <v>101</v>
      </c>
      <c r="B1" s="55" t="s">
        <v>173</v>
      </c>
      <c r="C1" s="55" t="s">
        <v>102</v>
      </c>
      <c r="D1" s="55" t="s">
        <v>103</v>
      </c>
      <c r="E1" s="55" t="s">
        <v>104</v>
      </c>
      <c r="F1" s="55" t="s">
        <v>174</v>
      </c>
      <c r="G1" s="55" t="s">
        <v>107</v>
      </c>
      <c r="H1" s="55" t="s">
        <v>105</v>
      </c>
      <c r="I1" s="55" t="s">
        <v>106</v>
      </c>
      <c r="J1" s="55" t="s">
        <v>111</v>
      </c>
      <c r="K1" s="55" t="s">
        <v>112</v>
      </c>
      <c r="L1" s="55" t="s">
        <v>113</v>
      </c>
      <c r="M1" s="55" t="s">
        <v>114</v>
      </c>
    </row>
    <row r="2" spans="1:13" x14ac:dyDescent="0.25">
      <c r="A2" s="1" t="str">
        <f>FMA_LE!B3</f>
        <v>ABC123</v>
      </c>
      <c r="B2" s="57" t="str">
        <f>FMA_LE!B4</f>
        <v>2018_06_11</v>
      </c>
      <c r="C2" s="1" t="str">
        <f>LEFT(FMA_LE!B4,4)</f>
        <v>2018</v>
      </c>
      <c r="D2" s="1" t="str">
        <f>RIGHT(LEFT(FMA_LE!B4,7),2)</f>
        <v>06</v>
      </c>
      <c r="E2" s="1" t="str">
        <f>RIGHT(FMA_LE!B4,2)</f>
        <v>11</v>
      </c>
      <c r="F2" s="1" t="s">
        <v>175</v>
      </c>
      <c r="G2" s="1" t="s">
        <v>108</v>
      </c>
      <c r="H2" s="1" t="str">
        <f>RIGHT(FMA_LE!A7,2)</f>
        <v>01</v>
      </c>
      <c r="I2" s="1" t="str">
        <f>IF(FMA_LE!E7="", "na",FMA_LE!E7)</f>
        <v>na</v>
      </c>
      <c r="J2" s="1">
        <f>SUM(FMA_LE!E7:E23)</f>
        <v>0</v>
      </c>
      <c r="K2" s="1">
        <f>SUM(FMA_UE!E7:E39)</f>
        <v>0</v>
      </c>
      <c r="L2" s="1">
        <f>SUM(FMA_SENSE!E7:E18)</f>
        <v>0</v>
      </c>
      <c r="M2" s="1">
        <f>FMA_SENSE!E23</f>
        <v>0</v>
      </c>
    </row>
    <row r="3" spans="1:13" x14ac:dyDescent="0.25">
      <c r="A3" s="1" t="str">
        <f t="shared" ref="A3:F3" si="0">A2</f>
        <v>ABC123</v>
      </c>
      <c r="B3" s="1" t="str">
        <f t="shared" si="0"/>
        <v>2018_06_11</v>
      </c>
      <c r="C3" s="1" t="str">
        <f t="shared" si="0"/>
        <v>2018</v>
      </c>
      <c r="D3" s="1" t="str">
        <f t="shared" si="0"/>
        <v>06</v>
      </c>
      <c r="E3" s="1" t="str">
        <f t="shared" si="0"/>
        <v>11</v>
      </c>
      <c r="F3" s="1" t="str">
        <f t="shared" si="0"/>
        <v>FMA</v>
      </c>
      <c r="G3" s="1" t="s">
        <v>108</v>
      </c>
      <c r="H3" s="1" t="str">
        <f>RIGHT(FMA_LE!A8,2)</f>
        <v>02</v>
      </c>
      <c r="I3" s="1" t="str">
        <f>IF(FMA_LE!E8="", "na",FMA_LE!E8)</f>
        <v>na</v>
      </c>
      <c r="J3" s="1">
        <f>J2</f>
        <v>0</v>
      </c>
      <c r="K3" s="1">
        <f t="shared" ref="K3:M3" si="1">K2</f>
        <v>0</v>
      </c>
      <c r="L3" s="1">
        <f t="shared" si="1"/>
        <v>0</v>
      </c>
      <c r="M3" s="1">
        <f t="shared" si="1"/>
        <v>0</v>
      </c>
    </row>
    <row r="4" spans="1:13" x14ac:dyDescent="0.25">
      <c r="A4" s="1" t="str">
        <f t="shared" ref="A4:B51" si="2">A3</f>
        <v>ABC123</v>
      </c>
      <c r="B4" s="1" t="str">
        <f t="shared" si="2"/>
        <v>2018_06_11</v>
      </c>
      <c r="C4" s="1" t="str">
        <f t="shared" ref="C4:C51" si="3">C3</f>
        <v>2018</v>
      </c>
      <c r="D4" s="1" t="str">
        <f t="shared" ref="D4:D51" si="4">D3</f>
        <v>06</v>
      </c>
      <c r="E4" s="1" t="str">
        <f t="shared" ref="E4:F51" si="5">E3</f>
        <v>11</v>
      </c>
      <c r="F4" s="1" t="str">
        <f t="shared" si="5"/>
        <v>FMA</v>
      </c>
      <c r="G4" s="1" t="s">
        <v>108</v>
      </c>
      <c r="H4" s="1" t="str">
        <f>RIGHT(FMA_LE!A9,2)</f>
        <v>03</v>
      </c>
      <c r="I4" s="1" t="str">
        <f>IF(FMA_LE!E9="", "na",FMA_LE!E9)</f>
        <v>na</v>
      </c>
      <c r="J4" s="1">
        <f t="shared" ref="J4:J63" si="6">J3</f>
        <v>0</v>
      </c>
      <c r="K4" s="1">
        <f t="shared" ref="K4:K63" si="7">K3</f>
        <v>0</v>
      </c>
      <c r="L4" s="1">
        <f t="shared" ref="L4:L63" si="8">L3</f>
        <v>0</v>
      </c>
      <c r="M4" s="1">
        <f t="shared" ref="M4:M63" si="9">M3</f>
        <v>0</v>
      </c>
    </row>
    <row r="5" spans="1:13" x14ac:dyDescent="0.25">
      <c r="A5" s="1" t="str">
        <f t="shared" si="2"/>
        <v>ABC123</v>
      </c>
      <c r="B5" s="1" t="str">
        <f t="shared" si="2"/>
        <v>2018_06_11</v>
      </c>
      <c r="C5" s="1" t="str">
        <f t="shared" si="3"/>
        <v>2018</v>
      </c>
      <c r="D5" s="1" t="str">
        <f t="shared" si="4"/>
        <v>06</v>
      </c>
      <c r="E5" s="1" t="str">
        <f t="shared" si="5"/>
        <v>11</v>
      </c>
      <c r="F5" s="1" t="str">
        <f t="shared" si="5"/>
        <v>FMA</v>
      </c>
      <c r="G5" s="1" t="s">
        <v>108</v>
      </c>
      <c r="H5" s="1" t="str">
        <f>RIGHT(FMA_LE!A10,2)</f>
        <v>04</v>
      </c>
      <c r="I5" s="1" t="str">
        <f>IF(FMA_LE!E10="", "na",FMA_LE!E10)</f>
        <v>na</v>
      </c>
      <c r="J5" s="1">
        <f t="shared" si="6"/>
        <v>0</v>
      </c>
      <c r="K5" s="1">
        <f t="shared" si="7"/>
        <v>0</v>
      </c>
      <c r="L5" s="1">
        <f t="shared" si="8"/>
        <v>0</v>
      </c>
      <c r="M5" s="1">
        <f t="shared" si="9"/>
        <v>0</v>
      </c>
    </row>
    <row r="6" spans="1:13" ht="15" customHeight="1" x14ac:dyDescent="0.25">
      <c r="A6" s="1" t="str">
        <f t="shared" si="2"/>
        <v>ABC123</v>
      </c>
      <c r="B6" s="1" t="str">
        <f t="shared" si="2"/>
        <v>2018_06_11</v>
      </c>
      <c r="C6" s="1" t="str">
        <f t="shared" si="3"/>
        <v>2018</v>
      </c>
      <c r="D6" s="1" t="str">
        <f t="shared" si="4"/>
        <v>06</v>
      </c>
      <c r="E6" s="1" t="str">
        <f t="shared" si="5"/>
        <v>11</v>
      </c>
      <c r="F6" s="1" t="str">
        <f t="shared" si="5"/>
        <v>FMA</v>
      </c>
      <c r="G6" s="1" t="s">
        <v>108</v>
      </c>
      <c r="H6" s="1" t="str">
        <f>RIGHT(FMA_LE!A11,2)</f>
        <v>05</v>
      </c>
      <c r="I6" s="1" t="str">
        <f>IF(FMA_LE!E11="", "na",FMA_LE!E11)</f>
        <v>na</v>
      </c>
      <c r="J6" s="1">
        <f t="shared" si="6"/>
        <v>0</v>
      </c>
      <c r="K6" s="1">
        <f t="shared" si="7"/>
        <v>0</v>
      </c>
      <c r="L6" s="1">
        <f t="shared" si="8"/>
        <v>0</v>
      </c>
      <c r="M6" s="1">
        <f t="shared" si="9"/>
        <v>0</v>
      </c>
    </row>
    <row r="7" spans="1:13" x14ac:dyDescent="0.25">
      <c r="A7" s="1" t="str">
        <f t="shared" si="2"/>
        <v>ABC123</v>
      </c>
      <c r="B7" s="1" t="str">
        <f t="shared" si="2"/>
        <v>2018_06_11</v>
      </c>
      <c r="C7" s="1" t="str">
        <f t="shared" si="3"/>
        <v>2018</v>
      </c>
      <c r="D7" s="1" t="str">
        <f t="shared" si="4"/>
        <v>06</v>
      </c>
      <c r="E7" s="1" t="str">
        <f t="shared" si="5"/>
        <v>11</v>
      </c>
      <c r="F7" s="1" t="str">
        <f t="shared" si="5"/>
        <v>FMA</v>
      </c>
      <c r="G7" s="1" t="s">
        <v>108</v>
      </c>
      <c r="H7" s="1" t="str">
        <f>RIGHT(FMA_LE!A12,2)</f>
        <v>06</v>
      </c>
      <c r="I7" s="1" t="str">
        <f>IF(FMA_LE!E12="", "na",FMA_LE!E12)</f>
        <v>na</v>
      </c>
      <c r="J7" s="1">
        <f t="shared" si="6"/>
        <v>0</v>
      </c>
      <c r="K7" s="1">
        <f t="shared" si="7"/>
        <v>0</v>
      </c>
      <c r="L7" s="1">
        <f t="shared" si="8"/>
        <v>0</v>
      </c>
      <c r="M7" s="1">
        <f t="shared" si="9"/>
        <v>0</v>
      </c>
    </row>
    <row r="8" spans="1:13" x14ac:dyDescent="0.25">
      <c r="A8" s="1" t="str">
        <f t="shared" si="2"/>
        <v>ABC123</v>
      </c>
      <c r="B8" s="1" t="str">
        <f t="shared" si="2"/>
        <v>2018_06_11</v>
      </c>
      <c r="C8" s="1" t="str">
        <f t="shared" si="3"/>
        <v>2018</v>
      </c>
      <c r="D8" s="1" t="str">
        <f t="shared" si="4"/>
        <v>06</v>
      </c>
      <c r="E8" s="1" t="str">
        <f t="shared" si="5"/>
        <v>11</v>
      </c>
      <c r="F8" s="1" t="str">
        <f t="shared" si="5"/>
        <v>FMA</v>
      </c>
      <c r="G8" s="1" t="s">
        <v>108</v>
      </c>
      <c r="H8" s="1" t="str">
        <f>RIGHT(FMA_LE!A13,2)</f>
        <v>07</v>
      </c>
      <c r="I8" s="1" t="str">
        <f>IF(FMA_LE!E13="", "na",FMA_LE!E13)</f>
        <v>na</v>
      </c>
      <c r="J8" s="1">
        <f t="shared" si="6"/>
        <v>0</v>
      </c>
      <c r="K8" s="1">
        <f t="shared" si="7"/>
        <v>0</v>
      </c>
      <c r="L8" s="1">
        <f t="shared" si="8"/>
        <v>0</v>
      </c>
      <c r="M8" s="1">
        <f t="shared" si="9"/>
        <v>0</v>
      </c>
    </row>
    <row r="9" spans="1:13" x14ac:dyDescent="0.25">
      <c r="A9" s="1" t="str">
        <f t="shared" si="2"/>
        <v>ABC123</v>
      </c>
      <c r="B9" s="1" t="str">
        <f t="shared" si="2"/>
        <v>2018_06_11</v>
      </c>
      <c r="C9" s="1" t="str">
        <f t="shared" si="3"/>
        <v>2018</v>
      </c>
      <c r="D9" s="1" t="str">
        <f t="shared" si="4"/>
        <v>06</v>
      </c>
      <c r="E9" s="1" t="str">
        <f t="shared" si="5"/>
        <v>11</v>
      </c>
      <c r="F9" s="1" t="str">
        <f t="shared" si="5"/>
        <v>FMA</v>
      </c>
      <c r="G9" s="1" t="s">
        <v>108</v>
      </c>
      <c r="H9" s="1" t="str">
        <f>RIGHT(FMA_LE!A14,2)</f>
        <v>08</v>
      </c>
      <c r="I9" s="1" t="str">
        <f>IF(FMA_LE!E14="", "na",FMA_LE!E14)</f>
        <v>na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</row>
    <row r="10" spans="1:13" x14ac:dyDescent="0.25">
      <c r="A10" s="1" t="str">
        <f t="shared" si="2"/>
        <v>ABC123</v>
      </c>
      <c r="B10" s="1" t="str">
        <f t="shared" si="2"/>
        <v>2018_06_11</v>
      </c>
      <c r="C10" s="1" t="str">
        <f t="shared" si="3"/>
        <v>2018</v>
      </c>
      <c r="D10" s="1" t="str">
        <f t="shared" si="4"/>
        <v>06</v>
      </c>
      <c r="E10" s="1" t="str">
        <f t="shared" si="5"/>
        <v>11</v>
      </c>
      <c r="F10" s="1" t="str">
        <f t="shared" si="5"/>
        <v>FMA</v>
      </c>
      <c r="G10" s="1" t="s">
        <v>108</v>
      </c>
      <c r="H10" s="1" t="str">
        <f>RIGHT(FMA_LE!A15,2)</f>
        <v>09</v>
      </c>
      <c r="I10" s="1" t="str">
        <f>IF(FMA_LE!E15="", "na",FMA_LE!E15)</f>
        <v>na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</row>
    <row r="11" spans="1:13" x14ac:dyDescent="0.25">
      <c r="A11" s="1" t="str">
        <f t="shared" si="2"/>
        <v>ABC123</v>
      </c>
      <c r="B11" s="1" t="str">
        <f t="shared" si="2"/>
        <v>2018_06_11</v>
      </c>
      <c r="C11" s="1" t="str">
        <f t="shared" si="3"/>
        <v>2018</v>
      </c>
      <c r="D11" s="1" t="str">
        <f t="shared" si="4"/>
        <v>06</v>
      </c>
      <c r="E11" s="1" t="str">
        <f t="shared" si="5"/>
        <v>11</v>
      </c>
      <c r="F11" s="1" t="str">
        <f t="shared" si="5"/>
        <v>FMA</v>
      </c>
      <c r="G11" s="1" t="s">
        <v>108</v>
      </c>
      <c r="H11" s="1" t="str">
        <f>RIGHT(FMA_LE!A16,2)</f>
        <v>10</v>
      </c>
      <c r="I11" s="1" t="str">
        <f>IF(FMA_LE!E16="", "na",FMA_LE!E16)</f>
        <v>na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</row>
    <row r="12" spans="1:13" x14ac:dyDescent="0.25">
      <c r="A12" s="1" t="str">
        <f t="shared" si="2"/>
        <v>ABC123</v>
      </c>
      <c r="B12" s="1" t="str">
        <f t="shared" si="2"/>
        <v>2018_06_11</v>
      </c>
      <c r="C12" s="1" t="str">
        <f t="shared" si="3"/>
        <v>2018</v>
      </c>
      <c r="D12" s="1" t="str">
        <f t="shared" si="4"/>
        <v>06</v>
      </c>
      <c r="E12" s="1" t="str">
        <f t="shared" si="5"/>
        <v>11</v>
      </c>
      <c r="F12" s="1" t="str">
        <f t="shared" si="5"/>
        <v>FMA</v>
      </c>
      <c r="G12" s="1" t="s">
        <v>108</v>
      </c>
      <c r="H12" s="1" t="str">
        <f>RIGHT(FMA_LE!A17,2)</f>
        <v>11</v>
      </c>
      <c r="I12" s="1" t="str">
        <f>IF(FMA_LE!E17="", "na",FMA_LE!E17)</f>
        <v>na</v>
      </c>
      <c r="J12" s="1">
        <f t="shared" si="6"/>
        <v>0</v>
      </c>
      <c r="K12" s="1">
        <f t="shared" si="7"/>
        <v>0</v>
      </c>
      <c r="L12" s="1">
        <f t="shared" si="8"/>
        <v>0</v>
      </c>
      <c r="M12" s="1">
        <f t="shared" si="9"/>
        <v>0</v>
      </c>
    </row>
    <row r="13" spans="1:13" x14ac:dyDescent="0.25">
      <c r="A13" s="1" t="str">
        <f t="shared" si="2"/>
        <v>ABC123</v>
      </c>
      <c r="B13" s="1" t="str">
        <f t="shared" si="2"/>
        <v>2018_06_11</v>
      </c>
      <c r="C13" s="1" t="str">
        <f t="shared" si="3"/>
        <v>2018</v>
      </c>
      <c r="D13" s="1" t="str">
        <f t="shared" si="4"/>
        <v>06</v>
      </c>
      <c r="E13" s="1" t="str">
        <f t="shared" si="5"/>
        <v>11</v>
      </c>
      <c r="F13" s="1" t="str">
        <f t="shared" si="5"/>
        <v>FMA</v>
      </c>
      <c r="G13" s="1" t="s">
        <v>108</v>
      </c>
      <c r="H13" s="1" t="str">
        <f>RIGHT(FMA_LE!A18,2)</f>
        <v>12</v>
      </c>
      <c r="I13" s="1" t="str">
        <f>IF(FMA_LE!E18="", "na",FMA_LE!E18)</f>
        <v>na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</row>
    <row r="14" spans="1:13" x14ac:dyDescent="0.25">
      <c r="A14" s="1" t="str">
        <f t="shared" si="2"/>
        <v>ABC123</v>
      </c>
      <c r="B14" s="1" t="str">
        <f t="shared" si="2"/>
        <v>2018_06_11</v>
      </c>
      <c r="C14" s="1" t="str">
        <f t="shared" si="3"/>
        <v>2018</v>
      </c>
      <c r="D14" s="1" t="str">
        <f t="shared" si="4"/>
        <v>06</v>
      </c>
      <c r="E14" s="1" t="str">
        <f t="shared" si="5"/>
        <v>11</v>
      </c>
      <c r="F14" s="1" t="str">
        <f t="shared" si="5"/>
        <v>FMA</v>
      </c>
      <c r="G14" s="1" t="s">
        <v>108</v>
      </c>
      <c r="H14" s="1" t="str">
        <f>RIGHT(FMA_LE!A19,2)</f>
        <v>13</v>
      </c>
      <c r="I14" s="1" t="str">
        <f>IF(FMA_LE!E19="", "na",FMA_LE!E19)</f>
        <v>na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</row>
    <row r="15" spans="1:13" x14ac:dyDescent="0.25">
      <c r="A15" s="1" t="str">
        <f t="shared" si="2"/>
        <v>ABC123</v>
      </c>
      <c r="B15" s="1" t="str">
        <f t="shared" si="2"/>
        <v>2018_06_11</v>
      </c>
      <c r="C15" s="1" t="str">
        <f t="shared" si="3"/>
        <v>2018</v>
      </c>
      <c r="D15" s="1" t="str">
        <f t="shared" si="4"/>
        <v>06</v>
      </c>
      <c r="E15" s="1" t="str">
        <f t="shared" si="5"/>
        <v>11</v>
      </c>
      <c r="F15" s="1" t="str">
        <f t="shared" si="5"/>
        <v>FMA</v>
      </c>
      <c r="G15" s="1" t="s">
        <v>108</v>
      </c>
      <c r="H15" s="1" t="str">
        <f>RIGHT(FMA_LE!A20,2)</f>
        <v>14</v>
      </c>
      <c r="I15" s="1" t="str">
        <f>IF(FMA_LE!E20="", "na",FMA_LE!E20)</f>
        <v>na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</row>
    <row r="16" spans="1:13" x14ac:dyDescent="0.25">
      <c r="A16" s="1" t="str">
        <f t="shared" si="2"/>
        <v>ABC123</v>
      </c>
      <c r="B16" s="1" t="str">
        <f t="shared" si="2"/>
        <v>2018_06_11</v>
      </c>
      <c r="C16" s="1" t="str">
        <f t="shared" si="3"/>
        <v>2018</v>
      </c>
      <c r="D16" s="1" t="str">
        <f t="shared" si="4"/>
        <v>06</v>
      </c>
      <c r="E16" s="1" t="str">
        <f t="shared" si="5"/>
        <v>11</v>
      </c>
      <c r="F16" s="1" t="str">
        <f t="shared" si="5"/>
        <v>FMA</v>
      </c>
      <c r="G16" s="1" t="s">
        <v>108</v>
      </c>
      <c r="H16" s="1" t="str">
        <f>RIGHT(FMA_LE!A21,2)</f>
        <v>15</v>
      </c>
      <c r="I16" s="1" t="str">
        <f>IF(FMA_LE!E21="", "na",FMA_LE!E21)</f>
        <v>na</v>
      </c>
      <c r="J16" s="1">
        <f t="shared" si="6"/>
        <v>0</v>
      </c>
      <c r="K16" s="1">
        <f t="shared" si="7"/>
        <v>0</v>
      </c>
      <c r="L16" s="1">
        <f t="shared" si="8"/>
        <v>0</v>
      </c>
      <c r="M16" s="1">
        <f t="shared" si="9"/>
        <v>0</v>
      </c>
    </row>
    <row r="17" spans="1:13" x14ac:dyDescent="0.25">
      <c r="A17" s="1" t="str">
        <f t="shared" si="2"/>
        <v>ABC123</v>
      </c>
      <c r="B17" s="1" t="str">
        <f t="shared" si="2"/>
        <v>2018_06_11</v>
      </c>
      <c r="C17" s="1" t="str">
        <f t="shared" si="3"/>
        <v>2018</v>
      </c>
      <c r="D17" s="1" t="str">
        <f t="shared" si="4"/>
        <v>06</v>
      </c>
      <c r="E17" s="1" t="str">
        <f t="shared" si="5"/>
        <v>11</v>
      </c>
      <c r="F17" s="1" t="str">
        <f t="shared" si="5"/>
        <v>FMA</v>
      </c>
      <c r="G17" s="1" t="s">
        <v>108</v>
      </c>
      <c r="H17" s="1" t="str">
        <f>RIGHT(FMA_LE!A22,2)</f>
        <v>16</v>
      </c>
      <c r="I17" s="1" t="str">
        <f>IF(FMA_LE!E22="", "na",FMA_LE!E22)</f>
        <v>na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</row>
    <row r="18" spans="1:13" x14ac:dyDescent="0.25">
      <c r="A18" s="1" t="str">
        <f t="shared" si="2"/>
        <v>ABC123</v>
      </c>
      <c r="B18" s="1" t="str">
        <f t="shared" si="2"/>
        <v>2018_06_11</v>
      </c>
      <c r="C18" s="1" t="str">
        <f t="shared" si="3"/>
        <v>2018</v>
      </c>
      <c r="D18" s="1" t="str">
        <f t="shared" si="4"/>
        <v>06</v>
      </c>
      <c r="E18" s="1" t="str">
        <f t="shared" si="5"/>
        <v>11</v>
      </c>
      <c r="F18" s="1" t="str">
        <f t="shared" si="5"/>
        <v>FMA</v>
      </c>
      <c r="G18" s="1" t="s">
        <v>108</v>
      </c>
      <c r="H18" s="1" t="str">
        <f>RIGHT(FMA_LE!A23,2)</f>
        <v>17</v>
      </c>
      <c r="I18" s="1" t="str">
        <f>IF(FMA_LE!E23="", "na",FMA_LE!E23)</f>
        <v>na</v>
      </c>
      <c r="J18" s="1">
        <f t="shared" si="6"/>
        <v>0</v>
      </c>
      <c r="K18" s="1">
        <f t="shared" si="7"/>
        <v>0</v>
      </c>
      <c r="L18" s="1">
        <f t="shared" si="8"/>
        <v>0</v>
      </c>
      <c r="M18" s="1">
        <f t="shared" si="9"/>
        <v>0</v>
      </c>
    </row>
    <row r="19" spans="1:13" x14ac:dyDescent="0.25">
      <c r="A19" s="1" t="str">
        <f t="shared" si="2"/>
        <v>ABC123</v>
      </c>
      <c r="B19" s="1" t="str">
        <f t="shared" si="2"/>
        <v>2018_06_11</v>
      </c>
      <c r="C19" s="1" t="str">
        <f t="shared" si="3"/>
        <v>2018</v>
      </c>
      <c r="D19" s="1" t="str">
        <f t="shared" si="4"/>
        <v>06</v>
      </c>
      <c r="E19" s="1" t="str">
        <f t="shared" si="5"/>
        <v>11</v>
      </c>
      <c r="F19" s="1" t="str">
        <f t="shared" si="5"/>
        <v>FMA</v>
      </c>
      <c r="G19" s="1" t="s">
        <v>109</v>
      </c>
      <c r="H19" s="1" t="str">
        <f>RIGHT(FMA_UE!A7,2)</f>
        <v>18</v>
      </c>
      <c r="I19" s="1" t="str">
        <f>IF(FMA_UE!E7="", "na", FMA_UE!E7)</f>
        <v>na</v>
      </c>
      <c r="J19" s="1">
        <f t="shared" si="6"/>
        <v>0</v>
      </c>
      <c r="K19" s="1">
        <f t="shared" si="7"/>
        <v>0</v>
      </c>
      <c r="L19" s="1">
        <f t="shared" si="8"/>
        <v>0</v>
      </c>
      <c r="M19" s="1">
        <f t="shared" si="9"/>
        <v>0</v>
      </c>
    </row>
    <row r="20" spans="1:13" x14ac:dyDescent="0.25">
      <c r="A20" s="1" t="str">
        <f t="shared" si="2"/>
        <v>ABC123</v>
      </c>
      <c r="B20" s="1" t="str">
        <f t="shared" si="2"/>
        <v>2018_06_11</v>
      </c>
      <c r="C20" s="1" t="str">
        <f t="shared" si="3"/>
        <v>2018</v>
      </c>
      <c r="D20" s="1" t="str">
        <f t="shared" si="4"/>
        <v>06</v>
      </c>
      <c r="E20" s="1" t="str">
        <f t="shared" si="5"/>
        <v>11</v>
      </c>
      <c r="F20" s="1" t="str">
        <f t="shared" si="5"/>
        <v>FMA</v>
      </c>
      <c r="G20" s="1" t="s">
        <v>109</v>
      </c>
      <c r="H20" s="1" t="str">
        <f>RIGHT(FMA_UE!A8,2)</f>
        <v>19</v>
      </c>
      <c r="I20" s="1" t="str">
        <f>IF(FMA_UE!E8="", "na", FMA_UE!E8)</f>
        <v>na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</row>
    <row r="21" spans="1:13" x14ac:dyDescent="0.25">
      <c r="A21" s="1" t="str">
        <f t="shared" si="2"/>
        <v>ABC123</v>
      </c>
      <c r="B21" s="1" t="str">
        <f t="shared" si="2"/>
        <v>2018_06_11</v>
      </c>
      <c r="C21" s="1" t="str">
        <f t="shared" si="3"/>
        <v>2018</v>
      </c>
      <c r="D21" s="1" t="str">
        <f t="shared" si="4"/>
        <v>06</v>
      </c>
      <c r="E21" s="1" t="str">
        <f t="shared" si="5"/>
        <v>11</v>
      </c>
      <c r="F21" s="1" t="str">
        <f t="shared" si="5"/>
        <v>FMA</v>
      </c>
      <c r="G21" s="1" t="s">
        <v>109</v>
      </c>
      <c r="H21" s="1" t="str">
        <f>RIGHT(FMA_UE!A9,2)</f>
        <v>20</v>
      </c>
      <c r="I21" s="1" t="str">
        <f>IF(FMA_UE!E9="", "na", FMA_UE!E9)</f>
        <v>na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</row>
    <row r="22" spans="1:13" x14ac:dyDescent="0.25">
      <c r="A22" s="1" t="str">
        <f t="shared" si="2"/>
        <v>ABC123</v>
      </c>
      <c r="B22" s="1" t="str">
        <f t="shared" si="2"/>
        <v>2018_06_11</v>
      </c>
      <c r="C22" s="1" t="str">
        <f t="shared" si="3"/>
        <v>2018</v>
      </c>
      <c r="D22" s="1" t="str">
        <f t="shared" si="4"/>
        <v>06</v>
      </c>
      <c r="E22" s="1" t="str">
        <f t="shared" si="5"/>
        <v>11</v>
      </c>
      <c r="F22" s="1" t="str">
        <f t="shared" si="5"/>
        <v>FMA</v>
      </c>
      <c r="G22" s="1" t="s">
        <v>109</v>
      </c>
      <c r="H22" s="1" t="str">
        <f>RIGHT(FMA_UE!A10,2)</f>
        <v>21</v>
      </c>
      <c r="I22" s="1" t="str">
        <f>IF(FMA_UE!E10="", "na", FMA_UE!E10)</f>
        <v>na</v>
      </c>
      <c r="J22" s="1">
        <f t="shared" si="6"/>
        <v>0</v>
      </c>
      <c r="K22" s="1">
        <f t="shared" si="7"/>
        <v>0</v>
      </c>
      <c r="L22" s="1">
        <f t="shared" si="8"/>
        <v>0</v>
      </c>
      <c r="M22" s="1">
        <f t="shared" si="9"/>
        <v>0</v>
      </c>
    </row>
    <row r="23" spans="1:13" x14ac:dyDescent="0.25">
      <c r="A23" s="1" t="str">
        <f t="shared" si="2"/>
        <v>ABC123</v>
      </c>
      <c r="B23" s="1" t="str">
        <f t="shared" si="2"/>
        <v>2018_06_11</v>
      </c>
      <c r="C23" s="1" t="str">
        <f t="shared" si="3"/>
        <v>2018</v>
      </c>
      <c r="D23" s="1" t="str">
        <f t="shared" si="4"/>
        <v>06</v>
      </c>
      <c r="E23" s="1" t="str">
        <f t="shared" si="5"/>
        <v>11</v>
      </c>
      <c r="F23" s="1" t="str">
        <f t="shared" si="5"/>
        <v>FMA</v>
      </c>
      <c r="G23" s="1" t="s">
        <v>109</v>
      </c>
      <c r="H23" s="1" t="str">
        <f>RIGHT(FMA_UE!A11,2)</f>
        <v>22</v>
      </c>
      <c r="I23" s="1" t="str">
        <f>IF(FMA_UE!E11="", "na", FMA_UE!E11)</f>
        <v>na</v>
      </c>
      <c r="J23" s="1">
        <f t="shared" si="6"/>
        <v>0</v>
      </c>
      <c r="K23" s="1">
        <f t="shared" si="7"/>
        <v>0</v>
      </c>
      <c r="L23" s="1">
        <f t="shared" si="8"/>
        <v>0</v>
      </c>
      <c r="M23" s="1">
        <f t="shared" si="9"/>
        <v>0</v>
      </c>
    </row>
    <row r="24" spans="1:13" x14ac:dyDescent="0.25">
      <c r="A24" s="1" t="str">
        <f t="shared" si="2"/>
        <v>ABC123</v>
      </c>
      <c r="B24" s="1" t="str">
        <f t="shared" si="2"/>
        <v>2018_06_11</v>
      </c>
      <c r="C24" s="1" t="str">
        <f t="shared" si="3"/>
        <v>2018</v>
      </c>
      <c r="D24" s="1" t="str">
        <f t="shared" si="4"/>
        <v>06</v>
      </c>
      <c r="E24" s="1" t="str">
        <f t="shared" si="5"/>
        <v>11</v>
      </c>
      <c r="F24" s="1" t="str">
        <f t="shared" si="5"/>
        <v>FMA</v>
      </c>
      <c r="G24" s="1" t="s">
        <v>109</v>
      </c>
      <c r="H24" s="1" t="str">
        <f>RIGHT(FMA_UE!A12,2)</f>
        <v>23</v>
      </c>
      <c r="I24" s="1" t="str">
        <f>IF(FMA_UE!E12="", "na", FMA_UE!E12)</f>
        <v>na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</row>
    <row r="25" spans="1:13" x14ac:dyDescent="0.25">
      <c r="A25" s="1" t="str">
        <f t="shared" si="2"/>
        <v>ABC123</v>
      </c>
      <c r="B25" s="1" t="str">
        <f t="shared" si="2"/>
        <v>2018_06_11</v>
      </c>
      <c r="C25" s="1" t="str">
        <f t="shared" si="3"/>
        <v>2018</v>
      </c>
      <c r="D25" s="1" t="str">
        <f t="shared" si="4"/>
        <v>06</v>
      </c>
      <c r="E25" s="1" t="str">
        <f t="shared" si="5"/>
        <v>11</v>
      </c>
      <c r="F25" s="1" t="str">
        <f t="shared" si="5"/>
        <v>FMA</v>
      </c>
      <c r="G25" s="1" t="s">
        <v>109</v>
      </c>
      <c r="H25" s="1" t="str">
        <f>RIGHT(FMA_UE!A13,2)</f>
        <v>24</v>
      </c>
      <c r="I25" s="1" t="str">
        <f>IF(FMA_UE!E13="", "na", FMA_UE!E13)</f>
        <v>na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</row>
    <row r="26" spans="1:13" x14ac:dyDescent="0.25">
      <c r="A26" s="1" t="str">
        <f t="shared" si="2"/>
        <v>ABC123</v>
      </c>
      <c r="B26" s="1" t="str">
        <f t="shared" si="2"/>
        <v>2018_06_11</v>
      </c>
      <c r="C26" s="1" t="str">
        <f t="shared" si="3"/>
        <v>2018</v>
      </c>
      <c r="D26" s="1" t="str">
        <f t="shared" si="4"/>
        <v>06</v>
      </c>
      <c r="E26" s="1" t="str">
        <f t="shared" si="5"/>
        <v>11</v>
      </c>
      <c r="F26" s="1" t="str">
        <f t="shared" si="5"/>
        <v>FMA</v>
      </c>
      <c r="G26" s="1" t="s">
        <v>109</v>
      </c>
      <c r="H26" s="1" t="str">
        <f>RIGHT(FMA_UE!A14,2)</f>
        <v>25</v>
      </c>
      <c r="I26" s="1" t="str">
        <f>IF(FMA_UE!E14="", "na", FMA_UE!E14)</f>
        <v>na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</row>
    <row r="27" spans="1:13" x14ac:dyDescent="0.25">
      <c r="A27" s="1" t="str">
        <f t="shared" si="2"/>
        <v>ABC123</v>
      </c>
      <c r="B27" s="1" t="str">
        <f t="shared" si="2"/>
        <v>2018_06_11</v>
      </c>
      <c r="C27" s="1" t="str">
        <f t="shared" si="3"/>
        <v>2018</v>
      </c>
      <c r="D27" s="1" t="str">
        <f t="shared" si="4"/>
        <v>06</v>
      </c>
      <c r="E27" s="1" t="str">
        <f t="shared" si="5"/>
        <v>11</v>
      </c>
      <c r="F27" s="1" t="str">
        <f t="shared" si="5"/>
        <v>FMA</v>
      </c>
      <c r="G27" s="1" t="s">
        <v>109</v>
      </c>
      <c r="H27" s="1" t="str">
        <f>RIGHT(FMA_UE!A15,2)</f>
        <v>26</v>
      </c>
      <c r="I27" s="1" t="str">
        <f>IF(FMA_UE!E15="", "na", FMA_UE!E15)</f>
        <v>na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</row>
    <row r="28" spans="1:13" x14ac:dyDescent="0.25">
      <c r="A28" s="1" t="str">
        <f t="shared" si="2"/>
        <v>ABC123</v>
      </c>
      <c r="B28" s="1" t="str">
        <f t="shared" si="2"/>
        <v>2018_06_11</v>
      </c>
      <c r="C28" s="1" t="str">
        <f t="shared" si="3"/>
        <v>2018</v>
      </c>
      <c r="D28" s="1" t="str">
        <f t="shared" si="4"/>
        <v>06</v>
      </c>
      <c r="E28" s="1" t="str">
        <f t="shared" si="5"/>
        <v>11</v>
      </c>
      <c r="F28" s="1" t="str">
        <f t="shared" si="5"/>
        <v>FMA</v>
      </c>
      <c r="G28" s="1" t="s">
        <v>109</v>
      </c>
      <c r="H28" s="1" t="str">
        <f>RIGHT(FMA_UE!A16,2)</f>
        <v>27</v>
      </c>
      <c r="I28" s="1" t="str">
        <f>IF(FMA_UE!E16="", "na", FMA_UE!E16)</f>
        <v>na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</row>
    <row r="29" spans="1:13" x14ac:dyDescent="0.25">
      <c r="A29" s="1" t="str">
        <f t="shared" si="2"/>
        <v>ABC123</v>
      </c>
      <c r="B29" s="1" t="str">
        <f t="shared" si="2"/>
        <v>2018_06_11</v>
      </c>
      <c r="C29" s="1" t="str">
        <f t="shared" si="3"/>
        <v>2018</v>
      </c>
      <c r="D29" s="1" t="str">
        <f t="shared" si="4"/>
        <v>06</v>
      </c>
      <c r="E29" s="1" t="str">
        <f t="shared" si="5"/>
        <v>11</v>
      </c>
      <c r="F29" s="1" t="str">
        <f t="shared" si="5"/>
        <v>FMA</v>
      </c>
      <c r="G29" s="1" t="s">
        <v>109</v>
      </c>
      <c r="H29" s="1" t="str">
        <f>RIGHT(FMA_UE!A17,2)</f>
        <v>28</v>
      </c>
      <c r="I29" s="1" t="str">
        <f>IF(FMA_UE!E17="", "na", FMA_UE!E17)</f>
        <v>na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</row>
    <row r="30" spans="1:13" x14ac:dyDescent="0.25">
      <c r="A30" s="1" t="str">
        <f t="shared" si="2"/>
        <v>ABC123</v>
      </c>
      <c r="B30" s="1" t="str">
        <f t="shared" si="2"/>
        <v>2018_06_11</v>
      </c>
      <c r="C30" s="1" t="str">
        <f t="shared" si="3"/>
        <v>2018</v>
      </c>
      <c r="D30" s="1" t="str">
        <f t="shared" si="4"/>
        <v>06</v>
      </c>
      <c r="E30" s="1" t="str">
        <f t="shared" si="5"/>
        <v>11</v>
      </c>
      <c r="F30" s="1" t="str">
        <f t="shared" si="5"/>
        <v>FMA</v>
      </c>
      <c r="G30" s="1" t="s">
        <v>109</v>
      </c>
      <c r="H30" s="1" t="str">
        <f>RIGHT(FMA_UE!A18,2)</f>
        <v>29</v>
      </c>
      <c r="I30" s="1" t="str">
        <f>IF(FMA_UE!E18="", "na", FMA_UE!E18)</f>
        <v>na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</row>
    <row r="31" spans="1:13" x14ac:dyDescent="0.25">
      <c r="A31" s="1" t="str">
        <f t="shared" si="2"/>
        <v>ABC123</v>
      </c>
      <c r="B31" s="1" t="str">
        <f t="shared" si="2"/>
        <v>2018_06_11</v>
      </c>
      <c r="C31" s="1" t="str">
        <f t="shared" si="3"/>
        <v>2018</v>
      </c>
      <c r="D31" s="1" t="str">
        <f t="shared" si="4"/>
        <v>06</v>
      </c>
      <c r="E31" s="1" t="str">
        <f t="shared" si="5"/>
        <v>11</v>
      </c>
      <c r="F31" s="1" t="str">
        <f t="shared" si="5"/>
        <v>FMA</v>
      </c>
      <c r="G31" s="1" t="s">
        <v>109</v>
      </c>
      <c r="H31" s="1" t="str">
        <f>RIGHT(FMA_UE!A19,2)</f>
        <v>30</v>
      </c>
      <c r="I31" s="1" t="str">
        <f>IF(FMA_UE!E19="", "na", FMA_UE!E19)</f>
        <v>na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</row>
    <row r="32" spans="1:13" x14ac:dyDescent="0.25">
      <c r="A32" s="1" t="str">
        <f t="shared" si="2"/>
        <v>ABC123</v>
      </c>
      <c r="B32" s="1" t="str">
        <f t="shared" si="2"/>
        <v>2018_06_11</v>
      </c>
      <c r="C32" s="1" t="str">
        <f t="shared" si="3"/>
        <v>2018</v>
      </c>
      <c r="D32" s="1" t="str">
        <f t="shared" si="4"/>
        <v>06</v>
      </c>
      <c r="E32" s="1" t="str">
        <f t="shared" si="5"/>
        <v>11</v>
      </c>
      <c r="F32" s="1" t="str">
        <f t="shared" si="5"/>
        <v>FMA</v>
      </c>
      <c r="G32" s="1" t="s">
        <v>109</v>
      </c>
      <c r="H32" s="1" t="str">
        <f>RIGHT(FMA_UE!A20,2)</f>
        <v>31</v>
      </c>
      <c r="I32" s="1" t="str">
        <f>IF(FMA_UE!E20="", "na", FMA_UE!E20)</f>
        <v>na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</row>
    <row r="33" spans="1:13" x14ac:dyDescent="0.25">
      <c r="A33" s="1" t="str">
        <f t="shared" si="2"/>
        <v>ABC123</v>
      </c>
      <c r="B33" s="1" t="str">
        <f t="shared" si="2"/>
        <v>2018_06_11</v>
      </c>
      <c r="C33" s="1" t="str">
        <f t="shared" si="3"/>
        <v>2018</v>
      </c>
      <c r="D33" s="1" t="str">
        <f t="shared" si="4"/>
        <v>06</v>
      </c>
      <c r="E33" s="1" t="str">
        <f t="shared" si="5"/>
        <v>11</v>
      </c>
      <c r="F33" s="1" t="str">
        <f t="shared" si="5"/>
        <v>FMA</v>
      </c>
      <c r="G33" s="1" t="s">
        <v>109</v>
      </c>
      <c r="H33" s="1" t="str">
        <f>RIGHT(FMA_UE!A21,2)</f>
        <v>32</v>
      </c>
      <c r="I33" s="1" t="str">
        <f>IF(FMA_UE!E21="", "na", FMA_UE!E21)</f>
        <v>na</v>
      </c>
      <c r="J33" s="1">
        <f t="shared" si="6"/>
        <v>0</v>
      </c>
      <c r="K33" s="1">
        <f t="shared" si="7"/>
        <v>0</v>
      </c>
      <c r="L33" s="1">
        <f t="shared" si="8"/>
        <v>0</v>
      </c>
      <c r="M33" s="1">
        <f t="shared" si="9"/>
        <v>0</v>
      </c>
    </row>
    <row r="34" spans="1:13" x14ac:dyDescent="0.25">
      <c r="A34" s="1" t="str">
        <f t="shared" si="2"/>
        <v>ABC123</v>
      </c>
      <c r="B34" s="1" t="str">
        <f t="shared" si="2"/>
        <v>2018_06_11</v>
      </c>
      <c r="C34" s="1" t="str">
        <f t="shared" si="3"/>
        <v>2018</v>
      </c>
      <c r="D34" s="1" t="str">
        <f t="shared" si="4"/>
        <v>06</v>
      </c>
      <c r="E34" s="1" t="str">
        <f t="shared" si="5"/>
        <v>11</v>
      </c>
      <c r="F34" s="1" t="str">
        <f t="shared" si="5"/>
        <v>FMA</v>
      </c>
      <c r="G34" s="1" t="s">
        <v>109</v>
      </c>
      <c r="H34" s="1" t="str">
        <f>RIGHT(FMA_UE!A22,2)</f>
        <v>33</v>
      </c>
      <c r="I34" s="1" t="str">
        <f>IF(FMA_UE!E22="", "na", FMA_UE!E22)</f>
        <v>na</v>
      </c>
      <c r="J34" s="1">
        <f t="shared" si="6"/>
        <v>0</v>
      </c>
      <c r="K34" s="1">
        <f t="shared" si="7"/>
        <v>0</v>
      </c>
      <c r="L34" s="1">
        <f t="shared" si="8"/>
        <v>0</v>
      </c>
      <c r="M34" s="1">
        <f t="shared" si="9"/>
        <v>0</v>
      </c>
    </row>
    <row r="35" spans="1:13" x14ac:dyDescent="0.25">
      <c r="A35" s="1" t="str">
        <f t="shared" si="2"/>
        <v>ABC123</v>
      </c>
      <c r="B35" s="1" t="str">
        <f t="shared" si="2"/>
        <v>2018_06_11</v>
      </c>
      <c r="C35" s="1" t="str">
        <f t="shared" si="3"/>
        <v>2018</v>
      </c>
      <c r="D35" s="1" t="str">
        <f t="shared" si="4"/>
        <v>06</v>
      </c>
      <c r="E35" s="1" t="str">
        <f t="shared" si="5"/>
        <v>11</v>
      </c>
      <c r="F35" s="1" t="str">
        <f t="shared" si="5"/>
        <v>FMA</v>
      </c>
      <c r="G35" s="1" t="s">
        <v>109</v>
      </c>
      <c r="H35" s="1" t="str">
        <f>RIGHT(FMA_UE!A23,2)</f>
        <v>34</v>
      </c>
      <c r="I35" s="1" t="str">
        <f>IF(FMA_UE!E23="", "na", FMA_UE!E23)</f>
        <v>na</v>
      </c>
      <c r="J35" s="1">
        <f t="shared" si="6"/>
        <v>0</v>
      </c>
      <c r="K35" s="1">
        <f t="shared" si="7"/>
        <v>0</v>
      </c>
      <c r="L35" s="1">
        <f t="shared" si="8"/>
        <v>0</v>
      </c>
      <c r="M35" s="1">
        <f t="shared" si="9"/>
        <v>0</v>
      </c>
    </row>
    <row r="36" spans="1:13" x14ac:dyDescent="0.25">
      <c r="A36" s="1" t="str">
        <f t="shared" si="2"/>
        <v>ABC123</v>
      </c>
      <c r="B36" s="1" t="str">
        <f t="shared" si="2"/>
        <v>2018_06_11</v>
      </c>
      <c r="C36" s="1" t="str">
        <f t="shared" si="3"/>
        <v>2018</v>
      </c>
      <c r="D36" s="1" t="str">
        <f t="shared" si="4"/>
        <v>06</v>
      </c>
      <c r="E36" s="1" t="str">
        <f t="shared" si="5"/>
        <v>11</v>
      </c>
      <c r="F36" s="1" t="str">
        <f t="shared" si="5"/>
        <v>FMA</v>
      </c>
      <c r="G36" s="1" t="s">
        <v>109</v>
      </c>
      <c r="H36" s="1" t="str">
        <f>RIGHT(FMA_UE!A24,2)</f>
        <v>35</v>
      </c>
      <c r="I36" s="1" t="str">
        <f>IF(FMA_UE!E24="", "na", FMA_UE!E24)</f>
        <v>na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</row>
    <row r="37" spans="1:13" x14ac:dyDescent="0.25">
      <c r="A37" s="1" t="str">
        <f t="shared" si="2"/>
        <v>ABC123</v>
      </c>
      <c r="B37" s="1" t="str">
        <f t="shared" si="2"/>
        <v>2018_06_11</v>
      </c>
      <c r="C37" s="1" t="str">
        <f t="shared" si="3"/>
        <v>2018</v>
      </c>
      <c r="D37" s="1" t="str">
        <f t="shared" si="4"/>
        <v>06</v>
      </c>
      <c r="E37" s="1" t="str">
        <f t="shared" si="5"/>
        <v>11</v>
      </c>
      <c r="F37" s="1" t="str">
        <f t="shared" si="5"/>
        <v>FMA</v>
      </c>
      <c r="G37" s="1" t="s">
        <v>109</v>
      </c>
      <c r="H37" s="1" t="str">
        <f>RIGHT(FMA_UE!A25,2)</f>
        <v>36</v>
      </c>
      <c r="I37" s="1" t="str">
        <f>IF(FMA_UE!E25="", "na", FMA_UE!E25)</f>
        <v>na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</row>
    <row r="38" spans="1:13" x14ac:dyDescent="0.25">
      <c r="A38" s="1" t="str">
        <f t="shared" si="2"/>
        <v>ABC123</v>
      </c>
      <c r="B38" s="1" t="str">
        <f t="shared" si="2"/>
        <v>2018_06_11</v>
      </c>
      <c r="C38" s="1" t="str">
        <f t="shared" si="3"/>
        <v>2018</v>
      </c>
      <c r="D38" s="1" t="str">
        <f t="shared" si="4"/>
        <v>06</v>
      </c>
      <c r="E38" s="1" t="str">
        <f t="shared" si="5"/>
        <v>11</v>
      </c>
      <c r="F38" s="1" t="str">
        <f t="shared" si="5"/>
        <v>FMA</v>
      </c>
      <c r="G38" s="1" t="s">
        <v>109</v>
      </c>
      <c r="H38" s="1" t="str">
        <f>RIGHT(FMA_UE!A26,2)</f>
        <v>37</v>
      </c>
      <c r="I38" s="1" t="str">
        <f>IF(FMA_UE!E26="", "na", FMA_UE!E26)</f>
        <v>na</v>
      </c>
      <c r="J38" s="1">
        <f t="shared" si="6"/>
        <v>0</v>
      </c>
      <c r="K38" s="1">
        <f t="shared" si="7"/>
        <v>0</v>
      </c>
      <c r="L38" s="1">
        <f t="shared" si="8"/>
        <v>0</v>
      </c>
      <c r="M38" s="1">
        <f t="shared" si="9"/>
        <v>0</v>
      </c>
    </row>
    <row r="39" spans="1:13" x14ac:dyDescent="0.25">
      <c r="A39" s="1" t="str">
        <f t="shared" si="2"/>
        <v>ABC123</v>
      </c>
      <c r="B39" s="1" t="str">
        <f t="shared" si="2"/>
        <v>2018_06_11</v>
      </c>
      <c r="C39" s="1" t="str">
        <f t="shared" si="3"/>
        <v>2018</v>
      </c>
      <c r="D39" s="1" t="str">
        <f t="shared" si="4"/>
        <v>06</v>
      </c>
      <c r="E39" s="1" t="str">
        <f t="shared" si="5"/>
        <v>11</v>
      </c>
      <c r="F39" s="1" t="str">
        <f t="shared" si="5"/>
        <v>FMA</v>
      </c>
      <c r="G39" s="1" t="s">
        <v>109</v>
      </c>
      <c r="H39" s="1" t="str">
        <f>RIGHT(FMA_UE!A27,2)</f>
        <v>38</v>
      </c>
      <c r="I39" s="1" t="str">
        <f>IF(FMA_UE!E27="", "na", FMA_UE!E27)</f>
        <v>na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</row>
    <row r="40" spans="1:13" x14ac:dyDescent="0.25">
      <c r="A40" s="1" t="str">
        <f t="shared" si="2"/>
        <v>ABC123</v>
      </c>
      <c r="B40" s="1" t="str">
        <f t="shared" si="2"/>
        <v>2018_06_11</v>
      </c>
      <c r="C40" s="1" t="str">
        <f t="shared" si="3"/>
        <v>2018</v>
      </c>
      <c r="D40" s="1" t="str">
        <f t="shared" si="4"/>
        <v>06</v>
      </c>
      <c r="E40" s="1" t="str">
        <f t="shared" si="5"/>
        <v>11</v>
      </c>
      <c r="F40" s="1" t="str">
        <f t="shared" si="5"/>
        <v>FMA</v>
      </c>
      <c r="G40" s="1" t="s">
        <v>109</v>
      </c>
      <c r="H40" s="1" t="str">
        <f>RIGHT(FMA_UE!A28,2)</f>
        <v>39</v>
      </c>
      <c r="I40" s="1" t="str">
        <f>IF(FMA_UE!E28="", "na", FMA_UE!E28)</f>
        <v>na</v>
      </c>
      <c r="J40" s="1">
        <f t="shared" si="6"/>
        <v>0</v>
      </c>
      <c r="K40" s="1">
        <f t="shared" si="7"/>
        <v>0</v>
      </c>
      <c r="L40" s="1">
        <f t="shared" si="8"/>
        <v>0</v>
      </c>
      <c r="M40" s="1">
        <f t="shared" si="9"/>
        <v>0</v>
      </c>
    </row>
    <row r="41" spans="1:13" x14ac:dyDescent="0.25">
      <c r="A41" s="1" t="str">
        <f t="shared" si="2"/>
        <v>ABC123</v>
      </c>
      <c r="B41" s="1" t="str">
        <f t="shared" si="2"/>
        <v>2018_06_11</v>
      </c>
      <c r="C41" s="1" t="str">
        <f t="shared" si="3"/>
        <v>2018</v>
      </c>
      <c r="D41" s="1" t="str">
        <f t="shared" si="4"/>
        <v>06</v>
      </c>
      <c r="E41" s="1" t="str">
        <f t="shared" si="5"/>
        <v>11</v>
      </c>
      <c r="F41" s="1" t="str">
        <f t="shared" si="5"/>
        <v>FMA</v>
      </c>
      <c r="G41" s="1" t="s">
        <v>109</v>
      </c>
      <c r="H41" s="1" t="str">
        <f>RIGHT(FMA_UE!A29,2)</f>
        <v>40</v>
      </c>
      <c r="I41" s="1" t="str">
        <f>IF(FMA_UE!E29="", "na", FMA_UE!E29)</f>
        <v>na</v>
      </c>
      <c r="J41" s="1">
        <f t="shared" si="6"/>
        <v>0</v>
      </c>
      <c r="K41" s="1">
        <f t="shared" si="7"/>
        <v>0</v>
      </c>
      <c r="L41" s="1">
        <f t="shared" si="8"/>
        <v>0</v>
      </c>
      <c r="M41" s="1">
        <f t="shared" si="9"/>
        <v>0</v>
      </c>
    </row>
    <row r="42" spans="1:13" x14ac:dyDescent="0.25">
      <c r="A42" s="1" t="str">
        <f t="shared" si="2"/>
        <v>ABC123</v>
      </c>
      <c r="B42" s="1" t="str">
        <f t="shared" si="2"/>
        <v>2018_06_11</v>
      </c>
      <c r="C42" s="1" t="str">
        <f t="shared" si="3"/>
        <v>2018</v>
      </c>
      <c r="D42" s="1" t="str">
        <f t="shared" si="4"/>
        <v>06</v>
      </c>
      <c r="E42" s="1" t="str">
        <f t="shared" si="5"/>
        <v>11</v>
      </c>
      <c r="F42" s="1" t="str">
        <f t="shared" si="5"/>
        <v>FMA</v>
      </c>
      <c r="G42" s="1" t="s">
        <v>109</v>
      </c>
      <c r="H42" s="1" t="str">
        <f>RIGHT(FMA_UE!A30,2)</f>
        <v>41</v>
      </c>
      <c r="I42" s="1" t="str">
        <f>IF(FMA_UE!E30="", "na", FMA_UE!E30)</f>
        <v>na</v>
      </c>
      <c r="J42" s="1">
        <f t="shared" si="6"/>
        <v>0</v>
      </c>
      <c r="K42" s="1">
        <f t="shared" si="7"/>
        <v>0</v>
      </c>
      <c r="L42" s="1">
        <f t="shared" si="8"/>
        <v>0</v>
      </c>
      <c r="M42" s="1">
        <f t="shared" si="9"/>
        <v>0</v>
      </c>
    </row>
    <row r="43" spans="1:13" x14ac:dyDescent="0.25">
      <c r="A43" s="1" t="str">
        <f t="shared" si="2"/>
        <v>ABC123</v>
      </c>
      <c r="B43" s="1" t="str">
        <f t="shared" si="2"/>
        <v>2018_06_11</v>
      </c>
      <c r="C43" s="1" t="str">
        <f t="shared" si="3"/>
        <v>2018</v>
      </c>
      <c r="D43" s="1" t="str">
        <f t="shared" si="4"/>
        <v>06</v>
      </c>
      <c r="E43" s="1" t="str">
        <f t="shared" si="5"/>
        <v>11</v>
      </c>
      <c r="F43" s="1" t="str">
        <f t="shared" si="5"/>
        <v>FMA</v>
      </c>
      <c r="G43" s="1" t="s">
        <v>109</v>
      </c>
      <c r="H43" s="1" t="str">
        <f>RIGHT(FMA_UE!A31,2)</f>
        <v>42</v>
      </c>
      <c r="I43" s="1" t="str">
        <f>IF(FMA_UE!E31="", "na", FMA_UE!E31)</f>
        <v>na</v>
      </c>
      <c r="J43" s="1">
        <f t="shared" si="6"/>
        <v>0</v>
      </c>
      <c r="K43" s="1">
        <f t="shared" si="7"/>
        <v>0</v>
      </c>
      <c r="L43" s="1">
        <f t="shared" si="8"/>
        <v>0</v>
      </c>
      <c r="M43" s="1">
        <f t="shared" si="9"/>
        <v>0</v>
      </c>
    </row>
    <row r="44" spans="1:13" x14ac:dyDescent="0.25">
      <c r="A44" s="1" t="str">
        <f t="shared" si="2"/>
        <v>ABC123</v>
      </c>
      <c r="B44" s="1" t="str">
        <f t="shared" si="2"/>
        <v>2018_06_11</v>
      </c>
      <c r="C44" s="1" t="str">
        <f t="shared" si="3"/>
        <v>2018</v>
      </c>
      <c r="D44" s="1" t="str">
        <f t="shared" si="4"/>
        <v>06</v>
      </c>
      <c r="E44" s="1" t="str">
        <f t="shared" si="5"/>
        <v>11</v>
      </c>
      <c r="F44" s="1" t="str">
        <f t="shared" si="5"/>
        <v>FMA</v>
      </c>
      <c r="G44" s="1" t="s">
        <v>109</v>
      </c>
      <c r="H44" s="1" t="str">
        <f>RIGHT(FMA_UE!A32,2)</f>
        <v>43</v>
      </c>
      <c r="I44" s="1" t="str">
        <f>IF(FMA_UE!E32="", "na", FMA_UE!E32)</f>
        <v>na</v>
      </c>
      <c r="J44" s="1">
        <f t="shared" si="6"/>
        <v>0</v>
      </c>
      <c r="K44" s="1">
        <f t="shared" si="7"/>
        <v>0</v>
      </c>
      <c r="L44" s="1">
        <f t="shared" si="8"/>
        <v>0</v>
      </c>
      <c r="M44" s="1">
        <f t="shared" si="9"/>
        <v>0</v>
      </c>
    </row>
    <row r="45" spans="1:13" x14ac:dyDescent="0.25">
      <c r="A45" s="1" t="str">
        <f t="shared" si="2"/>
        <v>ABC123</v>
      </c>
      <c r="B45" s="1" t="str">
        <f t="shared" si="2"/>
        <v>2018_06_11</v>
      </c>
      <c r="C45" s="1" t="str">
        <f t="shared" si="3"/>
        <v>2018</v>
      </c>
      <c r="D45" s="1" t="str">
        <f t="shared" si="4"/>
        <v>06</v>
      </c>
      <c r="E45" s="1" t="str">
        <f t="shared" si="5"/>
        <v>11</v>
      </c>
      <c r="F45" s="1" t="str">
        <f t="shared" si="5"/>
        <v>FMA</v>
      </c>
      <c r="G45" s="1" t="s">
        <v>109</v>
      </c>
      <c r="H45" s="1" t="str">
        <f>RIGHT(FMA_UE!A33,2)</f>
        <v>44</v>
      </c>
      <c r="I45" s="1" t="str">
        <f>IF(FMA_UE!E33="", "na", FMA_UE!E33)</f>
        <v>na</v>
      </c>
      <c r="J45" s="1">
        <f t="shared" si="6"/>
        <v>0</v>
      </c>
      <c r="K45" s="1">
        <f t="shared" si="7"/>
        <v>0</v>
      </c>
      <c r="L45" s="1">
        <f t="shared" si="8"/>
        <v>0</v>
      </c>
      <c r="M45" s="1">
        <f t="shared" si="9"/>
        <v>0</v>
      </c>
    </row>
    <row r="46" spans="1:13" x14ac:dyDescent="0.25">
      <c r="A46" s="1" t="str">
        <f t="shared" si="2"/>
        <v>ABC123</v>
      </c>
      <c r="B46" s="1" t="str">
        <f t="shared" si="2"/>
        <v>2018_06_11</v>
      </c>
      <c r="C46" s="1" t="str">
        <f t="shared" si="3"/>
        <v>2018</v>
      </c>
      <c r="D46" s="1" t="str">
        <f t="shared" si="4"/>
        <v>06</v>
      </c>
      <c r="E46" s="1" t="str">
        <f t="shared" si="5"/>
        <v>11</v>
      </c>
      <c r="F46" s="1" t="str">
        <f t="shared" si="5"/>
        <v>FMA</v>
      </c>
      <c r="G46" s="1" t="s">
        <v>109</v>
      </c>
      <c r="H46" s="1" t="str">
        <f>RIGHT(FMA_UE!A34,2)</f>
        <v>45</v>
      </c>
      <c r="I46" s="1" t="str">
        <f>IF(FMA_UE!E34="", "na", FMA_UE!E34)</f>
        <v>na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</row>
    <row r="47" spans="1:13" x14ac:dyDescent="0.25">
      <c r="A47" s="1" t="str">
        <f t="shared" si="2"/>
        <v>ABC123</v>
      </c>
      <c r="B47" s="1" t="str">
        <f t="shared" si="2"/>
        <v>2018_06_11</v>
      </c>
      <c r="C47" s="1" t="str">
        <f t="shared" si="3"/>
        <v>2018</v>
      </c>
      <c r="D47" s="1" t="str">
        <f t="shared" si="4"/>
        <v>06</v>
      </c>
      <c r="E47" s="1" t="str">
        <f t="shared" si="5"/>
        <v>11</v>
      </c>
      <c r="F47" s="1" t="str">
        <f t="shared" si="5"/>
        <v>FMA</v>
      </c>
      <c r="G47" s="1" t="s">
        <v>109</v>
      </c>
      <c r="H47" s="1" t="str">
        <f>RIGHT(FMA_UE!A35,2)</f>
        <v>46</v>
      </c>
      <c r="I47" s="1" t="str">
        <f>IF(FMA_UE!E35="", "na", FMA_UE!E35)</f>
        <v>na</v>
      </c>
      <c r="J47" s="1">
        <f t="shared" si="6"/>
        <v>0</v>
      </c>
      <c r="K47" s="1">
        <f t="shared" si="7"/>
        <v>0</v>
      </c>
      <c r="L47" s="1">
        <f t="shared" si="8"/>
        <v>0</v>
      </c>
      <c r="M47" s="1">
        <f t="shared" si="9"/>
        <v>0</v>
      </c>
    </row>
    <row r="48" spans="1:13" x14ac:dyDescent="0.25">
      <c r="A48" s="1" t="str">
        <f t="shared" si="2"/>
        <v>ABC123</v>
      </c>
      <c r="B48" s="1" t="str">
        <f t="shared" si="2"/>
        <v>2018_06_11</v>
      </c>
      <c r="C48" s="1" t="str">
        <f t="shared" si="3"/>
        <v>2018</v>
      </c>
      <c r="D48" s="1" t="str">
        <f t="shared" si="4"/>
        <v>06</v>
      </c>
      <c r="E48" s="1" t="str">
        <f t="shared" si="5"/>
        <v>11</v>
      </c>
      <c r="F48" s="1" t="str">
        <f t="shared" si="5"/>
        <v>FMA</v>
      </c>
      <c r="G48" s="1" t="s">
        <v>109</v>
      </c>
      <c r="H48" s="1" t="str">
        <f>RIGHT(FMA_UE!A36,2)</f>
        <v>47</v>
      </c>
      <c r="I48" s="1" t="str">
        <f>IF(FMA_UE!E36="", "na", FMA_UE!E36)</f>
        <v>na</v>
      </c>
      <c r="J48" s="1">
        <f t="shared" si="6"/>
        <v>0</v>
      </c>
      <c r="K48" s="1">
        <f t="shared" si="7"/>
        <v>0</v>
      </c>
      <c r="L48" s="1">
        <f t="shared" si="8"/>
        <v>0</v>
      </c>
      <c r="M48" s="1">
        <f t="shared" si="9"/>
        <v>0</v>
      </c>
    </row>
    <row r="49" spans="1:13" x14ac:dyDescent="0.25">
      <c r="A49" s="1" t="str">
        <f t="shared" si="2"/>
        <v>ABC123</v>
      </c>
      <c r="B49" s="1" t="str">
        <f t="shared" si="2"/>
        <v>2018_06_11</v>
      </c>
      <c r="C49" s="1" t="str">
        <f t="shared" si="3"/>
        <v>2018</v>
      </c>
      <c r="D49" s="1" t="str">
        <f t="shared" si="4"/>
        <v>06</v>
      </c>
      <c r="E49" s="1" t="str">
        <f t="shared" si="5"/>
        <v>11</v>
      </c>
      <c r="F49" s="1" t="str">
        <f t="shared" si="5"/>
        <v>FMA</v>
      </c>
      <c r="G49" s="1" t="s">
        <v>109</v>
      </c>
      <c r="H49" s="1" t="str">
        <f>RIGHT(FMA_UE!A37,2)</f>
        <v>48</v>
      </c>
      <c r="I49" s="1" t="str">
        <f>IF(FMA_UE!E37="", "na", FMA_UE!E37)</f>
        <v>na</v>
      </c>
      <c r="J49" s="1">
        <f t="shared" si="6"/>
        <v>0</v>
      </c>
      <c r="K49" s="1">
        <f t="shared" si="7"/>
        <v>0</v>
      </c>
      <c r="L49" s="1">
        <f t="shared" si="8"/>
        <v>0</v>
      </c>
      <c r="M49" s="1">
        <f t="shared" si="9"/>
        <v>0</v>
      </c>
    </row>
    <row r="50" spans="1:13" x14ac:dyDescent="0.25">
      <c r="A50" s="1" t="str">
        <f t="shared" si="2"/>
        <v>ABC123</v>
      </c>
      <c r="B50" s="1" t="str">
        <f t="shared" si="2"/>
        <v>2018_06_11</v>
      </c>
      <c r="C50" s="1" t="str">
        <f t="shared" si="3"/>
        <v>2018</v>
      </c>
      <c r="D50" s="1" t="str">
        <f t="shared" si="4"/>
        <v>06</v>
      </c>
      <c r="E50" s="1" t="str">
        <f t="shared" si="5"/>
        <v>11</v>
      </c>
      <c r="F50" s="1" t="str">
        <f t="shared" si="5"/>
        <v>FMA</v>
      </c>
      <c r="G50" s="1" t="s">
        <v>109</v>
      </c>
      <c r="H50" s="1" t="str">
        <f>RIGHT(FMA_UE!A38,2)</f>
        <v>49</v>
      </c>
      <c r="I50" s="1" t="str">
        <f>IF(FMA_UE!E38="", "na", FMA_UE!E38)</f>
        <v>na</v>
      </c>
      <c r="J50" s="1">
        <f t="shared" si="6"/>
        <v>0</v>
      </c>
      <c r="K50" s="1">
        <f t="shared" si="7"/>
        <v>0</v>
      </c>
      <c r="L50" s="1">
        <f t="shared" si="8"/>
        <v>0</v>
      </c>
      <c r="M50" s="1">
        <f t="shared" si="9"/>
        <v>0</v>
      </c>
    </row>
    <row r="51" spans="1:13" x14ac:dyDescent="0.25">
      <c r="A51" s="1" t="str">
        <f t="shared" si="2"/>
        <v>ABC123</v>
      </c>
      <c r="B51" s="1" t="str">
        <f t="shared" si="2"/>
        <v>2018_06_11</v>
      </c>
      <c r="C51" s="1" t="str">
        <f t="shared" si="3"/>
        <v>2018</v>
      </c>
      <c r="D51" s="1" t="str">
        <f t="shared" si="4"/>
        <v>06</v>
      </c>
      <c r="E51" s="1" t="str">
        <f t="shared" si="5"/>
        <v>11</v>
      </c>
      <c r="F51" s="1" t="str">
        <f t="shared" si="5"/>
        <v>FMA</v>
      </c>
      <c r="G51" s="1" t="s">
        <v>109</v>
      </c>
      <c r="H51" s="1" t="str">
        <f>RIGHT(FMA_UE!A39,2)</f>
        <v>50</v>
      </c>
      <c r="I51" s="1" t="str">
        <f>IF(FMA_UE!E39="", "na", FMA_UE!E39)</f>
        <v>na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</row>
    <row r="52" spans="1:13" x14ac:dyDescent="0.25">
      <c r="A52" s="1" t="str">
        <f t="shared" ref="A52:B63" si="10">A51</f>
        <v>ABC123</v>
      </c>
      <c r="B52" s="1" t="str">
        <f t="shared" si="10"/>
        <v>2018_06_11</v>
      </c>
      <c r="C52" s="1" t="str">
        <f t="shared" ref="C52:C63" si="11">C51</f>
        <v>2018</v>
      </c>
      <c r="D52" s="1" t="str">
        <f t="shared" ref="D52:D63" si="12">D51</f>
        <v>06</v>
      </c>
      <c r="E52" s="1" t="str">
        <f t="shared" ref="E52:F63" si="13">E51</f>
        <v>11</v>
      </c>
      <c r="F52" s="1" t="str">
        <f t="shared" si="13"/>
        <v>FMA</v>
      </c>
      <c r="G52" s="1" t="s">
        <v>110</v>
      </c>
      <c r="H52" s="1" t="str">
        <f>RIGHT(FMA_SENSE!A7,2)</f>
        <v>51</v>
      </c>
      <c r="I52" s="1" t="str">
        <f>IF(FMA_SENSE!E7="", "na", FMA_SENSE!E7)</f>
        <v>na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</row>
    <row r="53" spans="1:13" x14ac:dyDescent="0.25">
      <c r="A53" s="1" t="str">
        <f t="shared" si="10"/>
        <v>ABC123</v>
      </c>
      <c r="B53" s="1" t="str">
        <f t="shared" si="10"/>
        <v>2018_06_11</v>
      </c>
      <c r="C53" s="1" t="str">
        <f t="shared" si="11"/>
        <v>2018</v>
      </c>
      <c r="D53" s="1" t="str">
        <f t="shared" si="12"/>
        <v>06</v>
      </c>
      <c r="E53" s="1" t="str">
        <f t="shared" si="13"/>
        <v>11</v>
      </c>
      <c r="F53" s="1" t="str">
        <f t="shared" si="13"/>
        <v>FMA</v>
      </c>
      <c r="G53" s="1" t="s">
        <v>110</v>
      </c>
      <c r="H53" s="1" t="str">
        <f>RIGHT(FMA_SENSE!A8,2)</f>
        <v>52</v>
      </c>
      <c r="I53" s="1" t="str">
        <f>IF(FMA_SENSE!E8="", "na", FMA_SENSE!E8)</f>
        <v>na</v>
      </c>
      <c r="J53" s="1">
        <f t="shared" si="6"/>
        <v>0</v>
      </c>
      <c r="K53" s="1">
        <f t="shared" si="7"/>
        <v>0</v>
      </c>
      <c r="L53" s="1">
        <f t="shared" si="8"/>
        <v>0</v>
      </c>
      <c r="M53" s="1">
        <f t="shared" si="9"/>
        <v>0</v>
      </c>
    </row>
    <row r="54" spans="1:13" x14ac:dyDescent="0.25">
      <c r="A54" s="1" t="str">
        <f t="shared" si="10"/>
        <v>ABC123</v>
      </c>
      <c r="B54" s="1" t="str">
        <f t="shared" si="10"/>
        <v>2018_06_11</v>
      </c>
      <c r="C54" s="1" t="str">
        <f t="shared" si="11"/>
        <v>2018</v>
      </c>
      <c r="D54" s="1" t="str">
        <f t="shared" si="12"/>
        <v>06</v>
      </c>
      <c r="E54" s="1" t="str">
        <f t="shared" si="13"/>
        <v>11</v>
      </c>
      <c r="F54" s="1" t="str">
        <f t="shared" si="13"/>
        <v>FMA</v>
      </c>
      <c r="G54" s="1" t="s">
        <v>110</v>
      </c>
      <c r="H54" s="1" t="str">
        <f>RIGHT(FMA_SENSE!A9,2)</f>
        <v>53</v>
      </c>
      <c r="I54" s="1" t="str">
        <f>IF(FMA_SENSE!E9="", "na", FMA_SENSE!E9)</f>
        <v>na</v>
      </c>
      <c r="J54" s="1">
        <f t="shared" si="6"/>
        <v>0</v>
      </c>
      <c r="K54" s="1">
        <f t="shared" si="7"/>
        <v>0</v>
      </c>
      <c r="L54" s="1">
        <f t="shared" si="8"/>
        <v>0</v>
      </c>
      <c r="M54" s="1">
        <f t="shared" si="9"/>
        <v>0</v>
      </c>
    </row>
    <row r="55" spans="1:13" x14ac:dyDescent="0.25">
      <c r="A55" s="1" t="str">
        <f t="shared" si="10"/>
        <v>ABC123</v>
      </c>
      <c r="B55" s="1" t="str">
        <f t="shared" si="10"/>
        <v>2018_06_11</v>
      </c>
      <c r="C55" s="1" t="str">
        <f t="shared" si="11"/>
        <v>2018</v>
      </c>
      <c r="D55" s="1" t="str">
        <f t="shared" si="12"/>
        <v>06</v>
      </c>
      <c r="E55" s="1" t="str">
        <f t="shared" si="13"/>
        <v>11</v>
      </c>
      <c r="F55" s="1" t="str">
        <f t="shared" si="13"/>
        <v>FMA</v>
      </c>
      <c r="G55" s="1" t="s">
        <v>110</v>
      </c>
      <c r="H55" s="1" t="str">
        <f>RIGHT(FMA_SENSE!A10,2)</f>
        <v>54</v>
      </c>
      <c r="I55" s="1" t="str">
        <f>IF(FMA_SENSE!E10="", "na", FMA_SENSE!E10)</f>
        <v>na</v>
      </c>
      <c r="J55" s="1">
        <f t="shared" si="6"/>
        <v>0</v>
      </c>
      <c r="K55" s="1">
        <f t="shared" si="7"/>
        <v>0</v>
      </c>
      <c r="L55" s="1">
        <f t="shared" si="8"/>
        <v>0</v>
      </c>
      <c r="M55" s="1">
        <f t="shared" si="9"/>
        <v>0</v>
      </c>
    </row>
    <row r="56" spans="1:13" x14ac:dyDescent="0.25">
      <c r="A56" s="1" t="str">
        <f t="shared" si="10"/>
        <v>ABC123</v>
      </c>
      <c r="B56" s="1" t="str">
        <f t="shared" si="10"/>
        <v>2018_06_11</v>
      </c>
      <c r="C56" s="1" t="str">
        <f t="shared" si="11"/>
        <v>2018</v>
      </c>
      <c r="D56" s="1" t="str">
        <f t="shared" si="12"/>
        <v>06</v>
      </c>
      <c r="E56" s="1" t="str">
        <f t="shared" si="13"/>
        <v>11</v>
      </c>
      <c r="F56" s="1" t="str">
        <f t="shared" si="13"/>
        <v>FMA</v>
      </c>
      <c r="G56" s="1" t="s">
        <v>110</v>
      </c>
      <c r="H56" s="1" t="str">
        <f>RIGHT(FMA_SENSE!A11,2)</f>
        <v>55</v>
      </c>
      <c r="I56" s="1" t="str">
        <f>IF(FMA_SENSE!E11="", "na", FMA_SENSE!E11)</f>
        <v>na</v>
      </c>
      <c r="J56" s="1">
        <f t="shared" si="6"/>
        <v>0</v>
      </c>
      <c r="K56" s="1">
        <f t="shared" si="7"/>
        <v>0</v>
      </c>
      <c r="L56" s="1">
        <f t="shared" si="8"/>
        <v>0</v>
      </c>
      <c r="M56" s="1">
        <f t="shared" si="9"/>
        <v>0</v>
      </c>
    </row>
    <row r="57" spans="1:13" x14ac:dyDescent="0.25">
      <c r="A57" s="1" t="str">
        <f t="shared" si="10"/>
        <v>ABC123</v>
      </c>
      <c r="B57" s="1" t="str">
        <f t="shared" si="10"/>
        <v>2018_06_11</v>
      </c>
      <c r="C57" s="1" t="str">
        <f t="shared" si="11"/>
        <v>2018</v>
      </c>
      <c r="D57" s="1" t="str">
        <f t="shared" si="12"/>
        <v>06</v>
      </c>
      <c r="E57" s="1" t="str">
        <f t="shared" si="13"/>
        <v>11</v>
      </c>
      <c r="F57" s="1" t="str">
        <f t="shared" si="13"/>
        <v>FMA</v>
      </c>
      <c r="G57" s="1" t="s">
        <v>110</v>
      </c>
      <c r="H57" s="1" t="str">
        <f>RIGHT(FMA_SENSE!A12,2)</f>
        <v>56</v>
      </c>
      <c r="I57" s="1" t="str">
        <f>IF(FMA_SENSE!E12="", "na", FMA_SENSE!E12)</f>
        <v>na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</row>
    <row r="58" spans="1:13" x14ac:dyDescent="0.25">
      <c r="A58" s="1" t="str">
        <f t="shared" si="10"/>
        <v>ABC123</v>
      </c>
      <c r="B58" s="1" t="str">
        <f t="shared" si="10"/>
        <v>2018_06_11</v>
      </c>
      <c r="C58" s="1" t="str">
        <f t="shared" si="11"/>
        <v>2018</v>
      </c>
      <c r="D58" s="1" t="str">
        <f t="shared" si="12"/>
        <v>06</v>
      </c>
      <c r="E58" s="1" t="str">
        <f t="shared" si="13"/>
        <v>11</v>
      </c>
      <c r="F58" s="1" t="str">
        <f t="shared" si="13"/>
        <v>FMA</v>
      </c>
      <c r="G58" s="1" t="s">
        <v>110</v>
      </c>
      <c r="H58" s="1" t="str">
        <f>RIGHT(FMA_SENSE!A13,2)</f>
        <v>57</v>
      </c>
      <c r="I58" s="1" t="str">
        <f>IF(FMA_SENSE!E13="", "na", FMA_SENSE!E13)</f>
        <v>na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</row>
    <row r="59" spans="1:13" x14ac:dyDescent="0.25">
      <c r="A59" s="1" t="str">
        <f t="shared" si="10"/>
        <v>ABC123</v>
      </c>
      <c r="B59" s="1" t="str">
        <f t="shared" si="10"/>
        <v>2018_06_11</v>
      </c>
      <c r="C59" s="1" t="str">
        <f t="shared" si="11"/>
        <v>2018</v>
      </c>
      <c r="D59" s="1" t="str">
        <f t="shared" si="12"/>
        <v>06</v>
      </c>
      <c r="E59" s="1" t="str">
        <f t="shared" si="13"/>
        <v>11</v>
      </c>
      <c r="F59" s="1" t="str">
        <f t="shared" si="13"/>
        <v>FMA</v>
      </c>
      <c r="G59" s="1" t="s">
        <v>110</v>
      </c>
      <c r="H59" s="1" t="str">
        <f>RIGHT(FMA_SENSE!A14,2)</f>
        <v>58</v>
      </c>
      <c r="I59" s="1" t="str">
        <f>IF(FMA_SENSE!E14="", "na", FMA_SENSE!E14)</f>
        <v>na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</row>
    <row r="60" spans="1:13" x14ac:dyDescent="0.25">
      <c r="A60" s="1" t="str">
        <f t="shared" si="10"/>
        <v>ABC123</v>
      </c>
      <c r="B60" s="1" t="str">
        <f t="shared" si="10"/>
        <v>2018_06_11</v>
      </c>
      <c r="C60" s="1" t="str">
        <f t="shared" si="11"/>
        <v>2018</v>
      </c>
      <c r="D60" s="1" t="str">
        <f t="shared" si="12"/>
        <v>06</v>
      </c>
      <c r="E60" s="1" t="str">
        <f t="shared" si="13"/>
        <v>11</v>
      </c>
      <c r="F60" s="1" t="str">
        <f t="shared" si="13"/>
        <v>FMA</v>
      </c>
      <c r="G60" s="1" t="s">
        <v>110</v>
      </c>
      <c r="H60" s="1" t="str">
        <f>RIGHT(FMA_SENSE!A15,2)</f>
        <v>59</v>
      </c>
      <c r="I60" s="1" t="str">
        <f>IF(FMA_SENSE!E15="", "na", FMA_SENSE!E15)</f>
        <v>na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</row>
    <row r="61" spans="1:13" x14ac:dyDescent="0.25">
      <c r="A61" s="1" t="str">
        <f t="shared" si="10"/>
        <v>ABC123</v>
      </c>
      <c r="B61" s="1" t="str">
        <f t="shared" si="10"/>
        <v>2018_06_11</v>
      </c>
      <c r="C61" s="1" t="str">
        <f t="shared" si="11"/>
        <v>2018</v>
      </c>
      <c r="D61" s="1" t="str">
        <f t="shared" si="12"/>
        <v>06</v>
      </c>
      <c r="E61" s="1" t="str">
        <f t="shared" si="13"/>
        <v>11</v>
      </c>
      <c r="F61" s="1" t="str">
        <f t="shared" si="13"/>
        <v>FMA</v>
      </c>
      <c r="G61" s="1" t="s">
        <v>110</v>
      </c>
      <c r="H61" s="1" t="str">
        <f>RIGHT(FMA_SENSE!A16,2)</f>
        <v>60</v>
      </c>
      <c r="I61" s="1" t="str">
        <f>IF(FMA_SENSE!E16="", "na", FMA_SENSE!E16)</f>
        <v>na</v>
      </c>
      <c r="J61" s="1">
        <f t="shared" si="6"/>
        <v>0</v>
      </c>
      <c r="K61" s="1">
        <f t="shared" si="7"/>
        <v>0</v>
      </c>
      <c r="L61" s="1">
        <f t="shared" si="8"/>
        <v>0</v>
      </c>
      <c r="M61" s="1">
        <f t="shared" si="9"/>
        <v>0</v>
      </c>
    </row>
    <row r="62" spans="1:13" x14ac:dyDescent="0.25">
      <c r="A62" s="1" t="str">
        <f t="shared" si="10"/>
        <v>ABC123</v>
      </c>
      <c r="B62" s="1" t="str">
        <f t="shared" si="10"/>
        <v>2018_06_11</v>
      </c>
      <c r="C62" s="1" t="str">
        <f t="shared" si="11"/>
        <v>2018</v>
      </c>
      <c r="D62" s="1" t="str">
        <f t="shared" si="12"/>
        <v>06</v>
      </c>
      <c r="E62" s="1" t="str">
        <f t="shared" si="13"/>
        <v>11</v>
      </c>
      <c r="F62" s="1" t="str">
        <f t="shared" si="13"/>
        <v>FMA</v>
      </c>
      <c r="G62" s="1" t="s">
        <v>110</v>
      </c>
      <c r="H62" s="1" t="str">
        <f>RIGHT(FMA_SENSE!A17,2)</f>
        <v>61</v>
      </c>
      <c r="I62" s="1" t="str">
        <f>IF(FMA_SENSE!E17="", "na", FMA_SENSE!E17)</f>
        <v>na</v>
      </c>
      <c r="J62" s="1">
        <f t="shared" si="6"/>
        <v>0</v>
      </c>
      <c r="K62" s="1">
        <f t="shared" si="7"/>
        <v>0</v>
      </c>
      <c r="L62" s="1">
        <f t="shared" si="8"/>
        <v>0</v>
      </c>
      <c r="M62" s="1">
        <f t="shared" si="9"/>
        <v>0</v>
      </c>
    </row>
    <row r="63" spans="1:13" x14ac:dyDescent="0.25">
      <c r="A63" s="1" t="str">
        <f t="shared" si="10"/>
        <v>ABC123</v>
      </c>
      <c r="B63" s="1" t="str">
        <f t="shared" si="10"/>
        <v>2018_06_11</v>
      </c>
      <c r="C63" s="1" t="str">
        <f t="shared" si="11"/>
        <v>2018</v>
      </c>
      <c r="D63" s="1" t="str">
        <f t="shared" si="12"/>
        <v>06</v>
      </c>
      <c r="E63" s="1" t="str">
        <f t="shared" si="13"/>
        <v>11</v>
      </c>
      <c r="F63" s="1" t="str">
        <f t="shared" si="13"/>
        <v>FMA</v>
      </c>
      <c r="G63" s="1" t="s">
        <v>110</v>
      </c>
      <c r="H63" s="1" t="str">
        <f>RIGHT(FMA_SENSE!A18,2)</f>
        <v>62</v>
      </c>
      <c r="I63" s="1" t="str">
        <f>IF(FMA_SENSE!E18="", "na", FMA_SENSE!E18)</f>
        <v>na</v>
      </c>
      <c r="J63" s="1">
        <f t="shared" si="6"/>
        <v>0</v>
      </c>
      <c r="K63" s="1">
        <f t="shared" si="7"/>
        <v>0</v>
      </c>
      <c r="L63" s="1">
        <f t="shared" si="8"/>
        <v>0</v>
      </c>
      <c r="M63" s="1">
        <f t="shared" si="9"/>
        <v>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FMA_LE</vt:lpstr>
      <vt:lpstr>FMA_UE</vt:lpstr>
      <vt:lpstr>FMA_SENSE</vt:lpstr>
      <vt:lpstr>DATA_EXPORT</vt:lpstr>
    </vt:vector>
  </TitlesOfParts>
  <Company>University of Utah College of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Lohse</dc:creator>
  <cp:lastModifiedBy>Keith Lohse</cp:lastModifiedBy>
  <dcterms:created xsi:type="dcterms:W3CDTF">2018-06-10T19:42:59Z</dcterms:created>
  <dcterms:modified xsi:type="dcterms:W3CDTF">2018-07-11T17:11:52Z</dcterms:modified>
</cp:coreProperties>
</file>