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6015231\Box Sync\Collaboration\Lei Liew\"/>
    </mc:Choice>
  </mc:AlternateContent>
  <bookViews>
    <workbookView xWindow="0" yWindow="0" windowWidth="19200" windowHeight="7050" activeTab="2"/>
  </bookViews>
  <sheets>
    <sheet name="WMFT_Affected_Arm" sheetId="1" r:id="rId1"/>
    <sheet name="WMFT_Unaffected_Arm" sheetId="5" r:id="rId2"/>
    <sheet name="DATA_EXPORT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" i="3" l="1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19" i="3"/>
  <c r="J20" i="3"/>
  <c r="J21" i="3"/>
  <c r="J22" i="3"/>
  <c r="J23" i="3"/>
  <c r="J24" i="3"/>
  <c r="J25" i="3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J26" i="3"/>
  <c r="J27" i="3"/>
  <c r="J28" i="3"/>
  <c r="J29" i="3"/>
  <c r="J30" i="3"/>
  <c r="J31" i="3"/>
  <c r="J32" i="3"/>
  <c r="J33" i="3"/>
  <c r="J34" i="3"/>
  <c r="J35" i="3"/>
  <c r="J19" i="3"/>
  <c r="A21" i="3"/>
  <c r="B21" i="3"/>
  <c r="C21" i="3"/>
  <c r="D21" i="3"/>
  <c r="E21" i="3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A22" i="3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B22" i="3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C22" i="3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D22" i="3"/>
  <c r="D23" i="3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E20" i="3"/>
  <c r="D20" i="3"/>
  <c r="C20" i="3"/>
  <c r="B20" i="3"/>
  <c r="A20" i="3"/>
  <c r="E19" i="3"/>
  <c r="D19" i="3"/>
  <c r="C19" i="3"/>
  <c r="B19" i="3"/>
  <c r="B4" i="5"/>
  <c r="B2" i="3"/>
  <c r="F21" i="3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20" i="3"/>
  <c r="F19" i="3"/>
  <c r="H35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19" i="3"/>
  <c r="A19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M2" i="3"/>
  <c r="L2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K2" i="3" s="1"/>
  <c r="I16" i="3"/>
  <c r="I17" i="3"/>
  <c r="I18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B3" i="5"/>
  <c r="G24" i="5"/>
  <c r="F24" i="5"/>
  <c r="G23" i="5"/>
  <c r="F23" i="5"/>
  <c r="G22" i="5"/>
  <c r="F22" i="5"/>
  <c r="F21" i="5"/>
  <c r="G20" i="5"/>
  <c r="F20" i="5"/>
  <c r="G19" i="5"/>
  <c r="F19" i="5"/>
  <c r="G18" i="5"/>
  <c r="F18" i="5"/>
  <c r="G17" i="5"/>
  <c r="F17" i="5"/>
  <c r="G16" i="5"/>
  <c r="F16" i="5"/>
  <c r="G15" i="5"/>
  <c r="F15" i="5"/>
  <c r="F14" i="5"/>
  <c r="G13" i="5"/>
  <c r="F13" i="5"/>
  <c r="G12" i="5"/>
  <c r="F12" i="5"/>
  <c r="G11" i="5"/>
  <c r="F11" i="5"/>
  <c r="G10" i="5"/>
  <c r="F10" i="5"/>
  <c r="G9" i="5"/>
  <c r="F9" i="5"/>
  <c r="G8" i="5"/>
  <c r="F8" i="5"/>
  <c r="F23" i="1"/>
  <c r="F24" i="1"/>
  <c r="F22" i="1"/>
  <c r="F16" i="1"/>
  <c r="F17" i="1"/>
  <c r="F18" i="1"/>
  <c r="F19" i="1"/>
  <c r="F20" i="1"/>
  <c r="F15" i="1"/>
  <c r="F9" i="1"/>
  <c r="F10" i="1"/>
  <c r="F11" i="1"/>
  <c r="F12" i="1"/>
  <c r="F13" i="1"/>
  <c r="F8" i="1"/>
  <c r="F21" i="1"/>
  <c r="F14" i="1"/>
  <c r="G19" i="1"/>
  <c r="G20" i="1"/>
  <c r="G22" i="1"/>
  <c r="G23" i="1"/>
  <c r="G24" i="1"/>
  <c r="G9" i="1"/>
  <c r="G10" i="1"/>
  <c r="G11" i="1"/>
  <c r="G12" i="1"/>
  <c r="G13" i="1"/>
  <c r="G15" i="1"/>
  <c r="G16" i="1"/>
  <c r="G17" i="1"/>
  <c r="G18" i="1"/>
  <c r="G8" i="1"/>
  <c r="K19" i="3" l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L19" i="3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F3" i="3"/>
  <c r="F4" i="3" s="1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H2" i="3" l="1"/>
  <c r="L3" i="3"/>
  <c r="L4" i="3" s="1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E2" i="3"/>
  <c r="E3" i="3" s="1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D2" i="3"/>
  <c r="D3" i="3" s="1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C2" i="3"/>
  <c r="C3" i="3" s="1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A2" i="3"/>
  <c r="A3" i="3" s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M3" i="3"/>
  <c r="M4" i="3" s="1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</calcChain>
</file>

<file path=xl/sharedStrings.xml><?xml version="1.0" encoding="utf-8"?>
<sst xmlns="http://schemas.openxmlformats.org/spreadsheetml/2006/main" count="150" uniqueCount="68">
  <si>
    <t>Item</t>
  </si>
  <si>
    <t>Comments</t>
  </si>
  <si>
    <t>Item 05</t>
  </si>
  <si>
    <t>Subject ID</t>
  </si>
  <si>
    <t>Date</t>
  </si>
  <si>
    <t>Item 06</t>
  </si>
  <si>
    <t>Item 09</t>
  </si>
  <si>
    <t>Item 02</t>
  </si>
  <si>
    <t>Item 01</t>
  </si>
  <si>
    <t>subID</t>
  </si>
  <si>
    <t>year</t>
  </si>
  <si>
    <t>month</t>
  </si>
  <si>
    <t>day</t>
  </si>
  <si>
    <t>item</t>
  </si>
  <si>
    <t>scale</t>
  </si>
  <si>
    <t>Item 03</t>
  </si>
  <si>
    <t>Item 04</t>
  </si>
  <si>
    <t>Item 07</t>
  </si>
  <si>
    <t>Item 08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</si>
  <si>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</si>
  <si>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</si>
  <si>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</si>
  <si>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</si>
  <si>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</si>
  <si>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</si>
  <si>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</si>
  <si>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</si>
  <si>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date</t>
  </si>
  <si>
    <t>assessment</t>
  </si>
  <si>
    <t>(YYYY_MM_DD)</t>
  </si>
  <si>
    <t>2018_07_11</t>
  </si>
  <si>
    <t>Wolf Motor Function Task</t>
  </si>
  <si>
    <t>Affected Arm</t>
  </si>
  <si>
    <t>FAS Score</t>
  </si>
  <si>
    <r>
      <t xml:space="preserve">Assessment of Affected Arm (Complete </t>
    </r>
    <r>
      <rPr>
        <b/>
        <i/>
        <u/>
        <sz val="14"/>
        <color theme="1"/>
        <rFont val="Calibri"/>
        <family val="2"/>
        <scheme val="minor"/>
      </rPr>
      <t>First</t>
    </r>
    <r>
      <rPr>
        <b/>
        <i/>
        <sz val="14"/>
        <color theme="1"/>
        <rFont val="Calibri"/>
        <family val="2"/>
        <scheme val="minor"/>
      </rPr>
      <t>)</t>
    </r>
  </si>
  <si>
    <t>Forearm to table</t>
  </si>
  <si>
    <t>Task</t>
  </si>
  <si>
    <t>Time (s)</t>
  </si>
  <si>
    <t>Forearm to box</t>
  </si>
  <si>
    <t>Extend elbow (to the side)</t>
  </si>
  <si>
    <t>Extend elbow (to the side with weight)</t>
  </si>
  <si>
    <t>Hand to table (front)</t>
  </si>
  <si>
    <t>Warnings</t>
  </si>
  <si>
    <t>na</t>
  </si>
  <si>
    <t>Hand to box (front)</t>
  </si>
  <si>
    <t>Weight to box</t>
  </si>
  <si>
    <t>Reach and retrieve</t>
  </si>
  <si>
    <t>Lift can</t>
  </si>
  <si>
    <t>Lift pencil</t>
  </si>
  <si>
    <t>Lift paper clip</t>
  </si>
  <si>
    <t>Stack checkers</t>
  </si>
  <si>
    <t>Flip cards</t>
  </si>
  <si>
    <t>Grip strength</t>
  </si>
  <si>
    <t>Turning key in lock</t>
  </si>
  <si>
    <t>Fold towel</t>
  </si>
  <si>
    <t>Lift basket</t>
  </si>
  <si>
    <r>
      <t xml:space="preserve">Assessment of Unaffected Arm (Complete </t>
    </r>
    <r>
      <rPr>
        <b/>
        <i/>
        <u/>
        <sz val="14"/>
        <color theme="1"/>
        <rFont val="Calibri"/>
        <family val="2"/>
        <scheme val="minor"/>
      </rPr>
      <t>Second</t>
    </r>
    <r>
      <rPr>
        <b/>
        <i/>
        <sz val="14"/>
        <color theme="1"/>
        <rFont val="Calibri"/>
        <family val="2"/>
        <scheme val="minor"/>
      </rPr>
      <t>)</t>
    </r>
  </si>
  <si>
    <t>Unaffected Arm</t>
  </si>
  <si>
    <t>WMFT</t>
  </si>
  <si>
    <t>ABC123</t>
  </si>
  <si>
    <t>affected</t>
  </si>
  <si>
    <t>time</t>
  </si>
  <si>
    <t>fas</t>
  </si>
  <si>
    <t>median_time</t>
  </si>
  <si>
    <t>total_FAS</t>
  </si>
  <si>
    <t>ave_strength</t>
  </si>
  <si>
    <t>unaffected</t>
  </si>
  <si>
    <t>Time does not apply for this 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</si>
</sst>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8" fillId="4" borderId="0" applyNumberFormat="0" applyBorder="0" applyAlignment="0" applyProtection="0"/>
  </cellStyleXfs>
  <cellXfs count="41">
    <xf numFmtId="0" fontId="0" fillId="0" borderId="0" xfId="0"/>
    <xf numFmtId="0" fontId="0" fillId="3" borderId="0" xfId="0" applyFill="1"/>
    <xf numFmtId="0" fontId="0" fillId="2" borderId="1" xfId="0" applyFill="1" applyBorder="1"/>
    <xf numFmtId="0" fontId="0" fillId="3" borderId="0" xfId="0" applyFill="1" applyBorder="1"/>
    <xf numFmtId="0" fontId="0" fillId="3" borderId="3" xfId="0" applyFill="1" applyBorder="1"/>
    <xf numFmtId="0" fontId="0" fillId="3" borderId="2" xfId="0" applyFill="1" applyBorder="1"/>
    <xf numFmtId="0" fontId="2" fillId="3" borderId="3" xfId="0" applyFont="1" applyFill="1" applyBorder="1"/>
    <xf numFmtId="0" fontId="3" fillId="3" borderId="0" xfId="0" applyFont="1" applyFill="1" applyBorder="1"/>
    <xf numFmtId="0" fontId="2" fillId="3" borderId="2" xfId="0" applyFont="1" applyFill="1" applyBorder="1"/>
    <xf numFmtId="0" fontId="5" fillId="3" borderId="2" xfId="0" applyFont="1" applyFill="1" applyBorder="1"/>
    <xf numFmtId="0" fontId="0" fillId="3" borderId="2" xfId="0" applyFill="1" applyBorder="1" applyAlignment="1">
      <alignment vertical="top"/>
    </xf>
    <xf numFmtId="0" fontId="0" fillId="3" borderId="5" xfId="0" applyFill="1" applyBorder="1" applyAlignment="1">
      <alignment vertical="top"/>
    </xf>
    <xf numFmtId="0" fontId="0" fillId="3" borderId="8" xfId="0" applyFill="1" applyBorder="1" applyAlignment="1">
      <alignment vertical="top"/>
    </xf>
    <xf numFmtId="0" fontId="7" fillId="3" borderId="0" xfId="0" applyFont="1" applyFill="1"/>
    <xf numFmtId="49" fontId="0" fillId="2" borderId="1" xfId="0" applyNumberFormat="1" applyFill="1" applyBorder="1"/>
    <xf numFmtId="49" fontId="0" fillId="3" borderId="0" xfId="0" applyNumberFormat="1" applyFill="1"/>
    <xf numFmtId="0" fontId="2" fillId="3" borderId="17" xfId="0" applyFont="1" applyFill="1" applyBorder="1"/>
    <xf numFmtId="0" fontId="2" fillId="3" borderId="18" xfId="0" applyFont="1" applyFill="1" applyBorder="1"/>
    <xf numFmtId="0" fontId="0" fillId="3" borderId="23" xfId="0" applyFill="1" applyBorder="1"/>
    <xf numFmtId="0" fontId="1" fillId="0" borderId="19" xfId="0" applyFont="1" applyBorder="1" applyAlignment="1">
      <alignment vertical="center" wrapText="1"/>
    </xf>
    <xf numFmtId="0" fontId="8" fillId="4" borderId="19" xfId="1" applyBorder="1" applyAlignment="1">
      <alignment vertical="center"/>
    </xf>
    <xf numFmtId="0" fontId="0" fillId="0" borderId="20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8" fillId="4" borderId="17" xfId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24" xfId="0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0" fillId="3" borderId="9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colors>
    <mruColors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276225</xdr:colOff>
      <xdr:row>0</xdr:row>
      <xdr:rowOff>152401</xdr:rowOff>
    </xdr:from>
    <xdr:to>
      <xdr:col>18</xdr:col>
      <xdr:colOff>152400</xdr:colOff>
      <xdr:row>3</xdr:row>
      <xdr:rowOff>161925</xdr:rowOff>
    </xdr:to>
    <xdr:sp macro="[0]!ExportAsCS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A536D7E-318F-4D15-A206-E58629071A37}"/>
            </a:ext>
          </a:extLst>
        </xdr:cNvPr>
        <xdr:cNvSpPr/>
      </xdr:nvSpPr>
      <xdr:spPr>
        <a:xfrm>
          <a:off x="13201650" y="152401"/>
          <a:ext cx="2314575" cy="581024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Click to Export</a:t>
          </a:r>
          <a:r>
            <a:rPr lang="en-US" sz="1800" baseline="0"/>
            <a:t> .csv</a:t>
          </a:r>
          <a:endParaRPr lang="en-US" sz="1800"/>
        </a:p>
      </xdr:txBody>
    </xdr:sp>
    <xdr:clientData/>
  </xdr:twoCellAnchor>
  <xdr:twoCellAnchor>
    <xdr:from>
      <xdr:col>14</xdr:col>
      <xdr:colOff>228599</xdr:colOff>
      <xdr:row>4</xdr:row>
      <xdr:rowOff>104774</xdr:rowOff>
    </xdr:from>
    <xdr:to>
      <xdr:col>18</xdr:col>
      <xdr:colOff>228600</xdr:colOff>
      <xdr:row>10</xdr:row>
      <xdr:rowOff>66674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AEDD956-7706-4749-BC35-8C0DF11602F0}"/>
            </a:ext>
          </a:extLst>
        </xdr:cNvPr>
        <xdr:cNvSpPr/>
      </xdr:nvSpPr>
      <xdr:spPr>
        <a:xfrm>
          <a:off x="9810749" y="866774"/>
          <a:ext cx="2438401" cy="1104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*Make sure you have a "participant_files" folder at the same level as this template. The participant data are written to that folder using the "subID" as a file name.</a:t>
          </a:r>
          <a:r>
            <a:rPr lang="en-US"/>
            <a:t>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4"/>
  <sheetViews>
    <sheetView workbookViewId="0">
      <selection activeCell="G14" sqref="G14"/>
    </sheetView>
  </sheetViews>
  <sheetFormatPr defaultRowHeight="15" x14ac:dyDescent="0.25"/>
  <cols>
    <col min="1" max="1" width="11.85546875" customWidth="1"/>
    <col min="2" max="2" width="13.42578125" customWidth="1"/>
    <col min="3" max="3" width="19.140625" bestFit="1" customWidth="1"/>
    <col min="4" max="4" width="14.5703125" customWidth="1"/>
    <col min="5" max="5" width="14.140625" customWidth="1"/>
    <col min="6" max="6" width="52.5703125" customWidth="1"/>
    <col min="7" max="7" width="36.42578125" customWidth="1"/>
  </cols>
  <sheetData>
    <row r="1" spans="1:7" ht="18" customHeight="1" thickBot="1" x14ac:dyDescent="0.35">
      <c r="A1" s="32" t="s">
        <v>31</v>
      </c>
      <c r="B1" s="33"/>
      <c r="C1" s="33"/>
      <c r="D1" s="33"/>
      <c r="E1" s="33"/>
      <c r="F1" s="34"/>
      <c r="G1" s="18"/>
    </row>
    <row r="2" spans="1:7" ht="18.75" x14ac:dyDescent="0.3">
      <c r="A2" s="9" t="s">
        <v>34</v>
      </c>
      <c r="B2" s="7"/>
      <c r="C2" s="3"/>
      <c r="D2" s="3"/>
      <c r="E2" s="3"/>
      <c r="F2" s="4"/>
      <c r="G2" s="4"/>
    </row>
    <row r="3" spans="1:7" x14ac:dyDescent="0.25">
      <c r="A3" s="5" t="s">
        <v>3</v>
      </c>
      <c r="B3" s="2" t="s">
        <v>59</v>
      </c>
      <c r="C3" s="3"/>
      <c r="D3" s="3"/>
      <c r="E3" s="3"/>
      <c r="F3" s="4"/>
      <c r="G3" s="4"/>
    </row>
    <row r="4" spans="1:7" x14ac:dyDescent="0.25">
      <c r="A4" s="5" t="s">
        <v>4</v>
      </c>
      <c r="B4" s="14" t="s">
        <v>30</v>
      </c>
      <c r="C4" s="3" t="s">
        <v>29</v>
      </c>
      <c r="D4" s="3"/>
      <c r="E4" s="3"/>
      <c r="F4" s="4"/>
      <c r="G4" s="4"/>
    </row>
    <row r="5" spans="1:7" ht="15.75" thickBot="1" x14ac:dyDescent="0.3">
      <c r="A5" s="5"/>
      <c r="B5" s="3"/>
      <c r="C5" s="3"/>
      <c r="D5" s="3"/>
      <c r="E5" s="3"/>
      <c r="F5" s="4"/>
      <c r="G5" s="4"/>
    </row>
    <row r="6" spans="1:7" x14ac:dyDescent="0.25">
      <c r="A6" s="5"/>
      <c r="B6" s="3"/>
      <c r="C6" s="3"/>
      <c r="D6" s="35" t="s">
        <v>32</v>
      </c>
      <c r="E6" s="36"/>
      <c r="F6" s="4"/>
      <c r="G6" s="4"/>
    </row>
    <row r="7" spans="1:7" x14ac:dyDescent="0.25">
      <c r="A7" s="8" t="s">
        <v>0</v>
      </c>
      <c r="B7" s="39" t="s">
        <v>36</v>
      </c>
      <c r="C7" s="40"/>
      <c r="D7" s="16" t="s">
        <v>37</v>
      </c>
      <c r="E7" s="17" t="s">
        <v>33</v>
      </c>
      <c r="F7" s="6" t="s">
        <v>1</v>
      </c>
      <c r="G7" s="6" t="s">
        <v>42</v>
      </c>
    </row>
    <row r="8" spans="1:7" ht="35.25" customHeight="1" x14ac:dyDescent="0.25">
      <c r="A8" s="12" t="s">
        <v>8</v>
      </c>
      <c r="B8" s="37" t="s">
        <v>35</v>
      </c>
      <c r="C8" s="38"/>
      <c r="D8" s="21"/>
      <c r="E8" s="22"/>
      <c r="F8" s="19" t="str">
        <f>IF(E8="","FAS values should be 0 to 5.", IF(E8=0, "0 = does not attempt movement at all",IF(E8=1,"1 = UE does not participate functionally, but attempt is made", IF(E8=2, "2 = Does, but requires assistance of other arm, requires &gt;2 attempts, or very slow", IF(E8=3, "3 = Does, but movement influenced by synergy, performed slowly, or with great effort", IF(E8=4, "4 = Does, but movement is slightly slower, less precise than normal", IF(E8=5, "Movement appears to be normal", "Values must be 0 to 5, or 'na'.")))))))</f>
        <v>FAS values should be 0 to 5.</v>
      </c>
      <c r="G8" s="20" t="str">
        <f>IF(ISTEXT(D8)=TRUE,"Time values must be numeric",IF(D8&gt;120,"Max time is 120 s",""))</f>
        <v/>
      </c>
    </row>
    <row r="9" spans="1:7" ht="35.25" customHeight="1" x14ac:dyDescent="0.25">
      <c r="A9" s="10" t="s">
        <v>7</v>
      </c>
      <c r="B9" s="30" t="s">
        <v>38</v>
      </c>
      <c r="C9" s="31"/>
      <c r="D9" s="21"/>
      <c r="E9" s="22"/>
      <c r="F9" s="19" t="str">
        <f t="shared" ref="F9:F13" si="0">IF(E9="","FAS values should be 0 to 5.", IF(E9=0, "0 = does not attempt movement at all",IF(E9=1,"1 = UE does not participate functionally, but attempt is made", IF(E9=2, "2 = Does, but requires assistance of other arm, requires &gt;2 attempts, or very slow", IF(E9=3, "3 = Does, but movement influenced by synergy, performed slowly, or with great effort", IF(E9=4, "4 = Does, but movement is slightly slower, less precise than normal", IF(E9=5, "Movement appears to be normal", "Values must be 0 to 5, or 'na'.")))))))</f>
        <v>FAS values should be 0 to 5.</v>
      </c>
      <c r="G9" s="20" t="str">
        <f t="shared" ref="G9:G24" si="1">IF(ISTEXT(D9)=TRUE,"Time values must be numeric",IF(D9&gt;120,"Max time is 120 s",""))</f>
        <v/>
      </c>
    </row>
    <row r="10" spans="1:7" ht="35.25" customHeight="1" x14ac:dyDescent="0.25">
      <c r="A10" s="10" t="s">
        <v>15</v>
      </c>
      <c r="B10" s="30" t="s">
        <v>39</v>
      </c>
      <c r="C10" s="31"/>
      <c r="D10" s="21"/>
      <c r="E10" s="22"/>
      <c r="F10" s="19" t="str">
        <f t="shared" si="0"/>
        <v>FAS values should be 0 to 5.</v>
      </c>
      <c r="G10" s="20" t="str">
        <f t="shared" si="1"/>
        <v/>
      </c>
    </row>
    <row r="11" spans="1:7" ht="35.25" customHeight="1" x14ac:dyDescent="0.25">
      <c r="A11" s="10" t="s">
        <v>16</v>
      </c>
      <c r="B11" s="30" t="s">
        <v>40</v>
      </c>
      <c r="C11" s="31"/>
      <c r="D11" s="21"/>
      <c r="E11" s="22"/>
      <c r="F11" s="19" t="str">
        <f t="shared" si="0"/>
        <v>FAS values should be 0 to 5.</v>
      </c>
      <c r="G11" s="20" t="str">
        <f t="shared" si="1"/>
        <v/>
      </c>
    </row>
    <row r="12" spans="1:7" ht="35.25" customHeight="1" x14ac:dyDescent="0.25">
      <c r="A12" s="10" t="s">
        <v>2</v>
      </c>
      <c r="B12" s="30" t="s">
        <v>41</v>
      </c>
      <c r="C12" s="31"/>
      <c r="D12" s="23"/>
      <c r="E12" s="24"/>
      <c r="F12" s="19" t="str">
        <f t="shared" si="0"/>
        <v>FAS values should be 0 to 5.</v>
      </c>
      <c r="G12" s="20" t="str">
        <f t="shared" si="1"/>
        <v/>
      </c>
    </row>
    <row r="13" spans="1:7" ht="35.25" customHeight="1" x14ac:dyDescent="0.25">
      <c r="A13" s="10" t="s">
        <v>5</v>
      </c>
      <c r="B13" s="30" t="s">
        <v>44</v>
      </c>
      <c r="C13" s="31"/>
      <c r="D13" s="23"/>
      <c r="E13" s="24"/>
      <c r="F13" s="19" t="str">
        <f t="shared" si="0"/>
        <v>FAS values should be 0 to 5.</v>
      </c>
      <c r="G13" s="20" t="str">
        <f t="shared" si="1"/>
        <v/>
      </c>
    </row>
    <row r="14" spans="1:7" ht="35.25" customHeight="1" x14ac:dyDescent="0.25">
      <c r="A14" s="10" t="s">
        <v>17</v>
      </c>
      <c r="B14" s="30" t="s">
        <v>45</v>
      </c>
      <c r="C14" s="31"/>
      <c r="D14" s="27" t="s">
        <v>43</v>
      </c>
      <c r="E14" s="24"/>
      <c r="F14" s="19" t="str">
        <f>IF(ISTEXT(E14)=TRUE,"Weight values must be numeric", "Record weight in kgs rather than FAS")</f>
        <v>Record weight in kgs rather than FAS</v>
      </c>
      <c r="G14" s="20" t="s">
        <v>67</v>
      </c>
    </row>
    <row r="15" spans="1:7" ht="35.25" customHeight="1" x14ac:dyDescent="0.25">
      <c r="A15" s="10" t="s">
        <v>18</v>
      </c>
      <c r="B15" s="30" t="s">
        <v>46</v>
      </c>
      <c r="C15" s="31"/>
      <c r="D15" s="23"/>
      <c r="E15" s="24"/>
      <c r="F15" s="19" t="str">
        <f>IF(E15="","FAS values should be 0 to 5.", IF(E15=0, "0 = does not attempt movement at all",IF(E15=1,"1 = UE does not participate functionally, but attempt is made", IF(E15=2, "2 = Does, but requires assistance of other arm, requires &gt;2 attempts, or very slow", IF(E15=3, "3 = Does, but movement influenced by synergy, performed slowly, or with great effort", IF(E15=4, "4 = Does, but movement is slightly slower, less precise than normal", IF(E15=5, "Movement appears to be normal", "Values must be 0 to 5, or 'na'.")))))))</f>
        <v>FAS values should be 0 to 5.</v>
      </c>
      <c r="G15" s="20" t="str">
        <f t="shared" si="1"/>
        <v/>
      </c>
    </row>
    <row r="16" spans="1:7" ht="35.25" customHeight="1" x14ac:dyDescent="0.25">
      <c r="A16" s="10" t="s">
        <v>6</v>
      </c>
      <c r="B16" s="30" t="s">
        <v>47</v>
      </c>
      <c r="C16" s="31"/>
      <c r="D16" s="23"/>
      <c r="E16" s="24"/>
      <c r="F16" s="19" t="str">
        <f t="shared" ref="F16:F24" si="2">IF(E16="","FAS values should be 0 to 5.", IF(E16=0, "0 = does not attempt movement at all",IF(E16=1,"1 = UE does not participate functionally, but attempt is made", IF(E16=2, "2 = Does, but requires assistance of other arm, requires &gt;2 attempts, or very slow", IF(E16=3, "3 = Does, but movement influenced by synergy, performed slowly, or with great effort", IF(E16=4, "4 = Does, but movement is slightly slower, less precise than normal", IF(E16=5, "Movement appears to be normal", "Values must be 0 to 5, or 'na'.")))))))</f>
        <v>FAS values should be 0 to 5.</v>
      </c>
      <c r="G16" s="20" t="str">
        <f t="shared" si="1"/>
        <v/>
      </c>
    </row>
    <row r="17" spans="1:7" ht="35.25" customHeight="1" x14ac:dyDescent="0.25">
      <c r="A17" s="10" t="s">
        <v>19</v>
      </c>
      <c r="B17" s="30" t="s">
        <v>48</v>
      </c>
      <c r="C17" s="31"/>
      <c r="D17" s="23"/>
      <c r="E17" s="24"/>
      <c r="F17" s="19" t="str">
        <f t="shared" si="2"/>
        <v>FAS values should be 0 to 5.</v>
      </c>
      <c r="G17" s="20" t="str">
        <f t="shared" si="1"/>
        <v/>
      </c>
    </row>
    <row r="18" spans="1:7" ht="35.25" customHeight="1" x14ac:dyDescent="0.25">
      <c r="A18" s="10" t="s">
        <v>20</v>
      </c>
      <c r="B18" s="30" t="s">
        <v>49</v>
      </c>
      <c r="C18" s="31"/>
      <c r="D18" s="23"/>
      <c r="E18" s="24"/>
      <c r="F18" s="19" t="str">
        <f t="shared" si="2"/>
        <v>FAS values should be 0 to 5.</v>
      </c>
      <c r="G18" s="20" t="str">
        <f t="shared" si="1"/>
        <v/>
      </c>
    </row>
    <row r="19" spans="1:7" ht="35.25" customHeight="1" x14ac:dyDescent="0.25">
      <c r="A19" s="10" t="s">
        <v>21</v>
      </c>
      <c r="B19" s="30" t="s">
        <v>50</v>
      </c>
      <c r="C19" s="31"/>
      <c r="D19" s="23"/>
      <c r="E19" s="24"/>
      <c r="F19" s="19" t="str">
        <f t="shared" si="2"/>
        <v>FAS values should be 0 to 5.</v>
      </c>
      <c r="G19" s="20" t="str">
        <f t="shared" si="1"/>
        <v/>
      </c>
    </row>
    <row r="20" spans="1:7" ht="35.25" customHeight="1" x14ac:dyDescent="0.25">
      <c r="A20" s="10" t="s">
        <v>22</v>
      </c>
      <c r="B20" s="30" t="s">
        <v>51</v>
      </c>
      <c r="C20" s="31"/>
      <c r="D20" s="23"/>
      <c r="E20" s="24"/>
      <c r="F20" s="19" t="str">
        <f t="shared" si="2"/>
        <v>FAS values should be 0 to 5.</v>
      </c>
      <c r="G20" s="20" t="str">
        <f t="shared" si="1"/>
        <v/>
      </c>
    </row>
    <row r="21" spans="1:7" ht="35.25" customHeight="1" x14ac:dyDescent="0.25">
      <c r="A21" s="10" t="s">
        <v>23</v>
      </c>
      <c r="B21" s="30" t="s">
        <v>52</v>
      </c>
      <c r="C21" s="31"/>
      <c r="D21" s="27" t="s">
        <v>43</v>
      </c>
      <c r="E21" s="24"/>
      <c r="F21" s="19" t="str">
        <f>IF(ISTEXT(E21)=TRUE, "Grip strength values must be numeric", "Record grip strength in kgs rather than FAS")</f>
        <v>Record grip strength in kgs rather than FAS</v>
      </c>
      <c r="G21" s="20" t="s">
        <v>67</v>
      </c>
    </row>
    <row r="22" spans="1:7" ht="35.25" customHeight="1" x14ac:dyDescent="0.25">
      <c r="A22" s="10" t="s">
        <v>24</v>
      </c>
      <c r="B22" s="30" t="s">
        <v>53</v>
      </c>
      <c r="C22" s="31"/>
      <c r="D22" s="23"/>
      <c r="E22" s="24"/>
      <c r="F22" s="19" t="str">
        <f t="shared" si="2"/>
        <v>FAS values should be 0 to 5.</v>
      </c>
      <c r="G22" s="20" t="str">
        <f t="shared" si="1"/>
        <v/>
      </c>
    </row>
    <row r="23" spans="1:7" ht="35.25" customHeight="1" x14ac:dyDescent="0.25">
      <c r="A23" s="10" t="s">
        <v>25</v>
      </c>
      <c r="B23" s="30" t="s">
        <v>54</v>
      </c>
      <c r="C23" s="31"/>
      <c r="D23" s="23"/>
      <c r="E23" s="24"/>
      <c r="F23" s="19" t="str">
        <f t="shared" si="2"/>
        <v>FAS values should be 0 to 5.</v>
      </c>
      <c r="G23" s="20" t="str">
        <f t="shared" si="1"/>
        <v/>
      </c>
    </row>
    <row r="24" spans="1:7" ht="35.25" customHeight="1" thickBot="1" x14ac:dyDescent="0.3">
      <c r="A24" s="11" t="s">
        <v>26</v>
      </c>
      <c r="B24" s="28" t="s">
        <v>55</v>
      </c>
      <c r="C24" s="29"/>
      <c r="D24" s="25"/>
      <c r="E24" s="26"/>
      <c r="F24" s="19" t="str">
        <f t="shared" si="2"/>
        <v>FAS values should be 0 to 5.</v>
      </c>
      <c r="G24" s="20" t="str">
        <f t="shared" si="1"/>
        <v/>
      </c>
    </row>
  </sheetData>
  <mergeCells count="20">
    <mergeCell ref="A1:F1"/>
    <mergeCell ref="D6:E6"/>
    <mergeCell ref="B8:C8"/>
    <mergeCell ref="B7:C7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24:C24"/>
    <mergeCell ref="B19:C19"/>
    <mergeCell ref="B20:C20"/>
    <mergeCell ref="B21:C21"/>
    <mergeCell ref="B22:C22"/>
    <mergeCell ref="B23:C23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"/>
  <sheetViews>
    <sheetView topLeftCell="A7" workbookViewId="0">
      <selection activeCell="J19" sqref="J19"/>
    </sheetView>
  </sheetViews>
  <sheetFormatPr defaultRowHeight="15" x14ac:dyDescent="0.25"/>
  <cols>
    <col min="1" max="1" width="11.85546875" customWidth="1"/>
    <col min="2" max="2" width="13.42578125" customWidth="1"/>
    <col min="3" max="3" width="19.140625" bestFit="1" customWidth="1"/>
    <col min="4" max="4" width="14.5703125" customWidth="1"/>
    <col min="5" max="5" width="14.140625" customWidth="1"/>
    <col min="6" max="6" width="52.5703125" customWidth="1"/>
    <col min="7" max="7" width="36.42578125" customWidth="1"/>
  </cols>
  <sheetData>
    <row r="1" spans="1:7" ht="18" customHeight="1" thickBot="1" x14ac:dyDescent="0.35">
      <c r="A1" s="32" t="s">
        <v>31</v>
      </c>
      <c r="B1" s="33"/>
      <c r="C1" s="33"/>
      <c r="D1" s="33"/>
      <c r="E1" s="33"/>
      <c r="F1" s="34"/>
      <c r="G1" s="18"/>
    </row>
    <row r="2" spans="1:7" ht="18.75" x14ac:dyDescent="0.3">
      <c r="A2" s="9" t="s">
        <v>56</v>
      </c>
      <c r="B2" s="7"/>
      <c r="C2" s="3"/>
      <c r="D2" s="3"/>
      <c r="E2" s="3"/>
      <c r="F2" s="4"/>
      <c r="G2" s="4"/>
    </row>
    <row r="3" spans="1:7" x14ac:dyDescent="0.25">
      <c r="A3" s="5" t="s">
        <v>3</v>
      </c>
      <c r="B3" s="2" t="str">
        <f>WMFT_Affected_Arm!B3</f>
        <v>ABC123</v>
      </c>
      <c r="C3" s="3"/>
      <c r="D3" s="3"/>
      <c r="E3" s="3"/>
      <c r="F3" s="4"/>
      <c r="G3" s="4"/>
    </row>
    <row r="4" spans="1:7" x14ac:dyDescent="0.25">
      <c r="A4" s="5" t="s">
        <v>4</v>
      </c>
      <c r="B4" s="14" t="str">
        <f>WMFT_Affected_Arm!B4</f>
        <v>2018_07_11</v>
      </c>
      <c r="C4" s="3" t="s">
        <v>29</v>
      </c>
      <c r="D4" s="3"/>
      <c r="E4" s="3"/>
      <c r="F4" s="4"/>
      <c r="G4" s="4"/>
    </row>
    <row r="5" spans="1:7" ht="15.75" thickBot="1" x14ac:dyDescent="0.3">
      <c r="A5" s="5"/>
      <c r="B5" s="3"/>
      <c r="C5" s="3"/>
      <c r="D5" s="3"/>
      <c r="E5" s="3"/>
      <c r="F5" s="4"/>
      <c r="G5" s="4"/>
    </row>
    <row r="6" spans="1:7" x14ac:dyDescent="0.25">
      <c r="A6" s="5"/>
      <c r="B6" s="3"/>
      <c r="C6" s="3"/>
      <c r="D6" s="35" t="s">
        <v>57</v>
      </c>
      <c r="E6" s="36"/>
      <c r="F6" s="4"/>
      <c r="G6" s="4"/>
    </row>
    <row r="7" spans="1:7" x14ac:dyDescent="0.25">
      <c r="A7" s="8" t="s">
        <v>0</v>
      </c>
      <c r="B7" s="39" t="s">
        <v>36</v>
      </c>
      <c r="C7" s="40"/>
      <c r="D7" s="16" t="s">
        <v>37</v>
      </c>
      <c r="E7" s="17" t="s">
        <v>33</v>
      </c>
      <c r="F7" s="6" t="s">
        <v>1</v>
      </c>
      <c r="G7" s="6" t="s">
        <v>42</v>
      </c>
    </row>
    <row r="8" spans="1:7" ht="35.25" customHeight="1" x14ac:dyDescent="0.25">
      <c r="A8" s="12" t="s">
        <v>8</v>
      </c>
      <c r="B8" s="37" t="s">
        <v>35</v>
      </c>
      <c r="C8" s="38"/>
      <c r="D8" s="21"/>
      <c r="E8" s="22"/>
      <c r="F8" s="19" t="str">
        <f>IF(E8="","FAS values should be 0 to 5.", IF(E8=0, "0 = does not attempt movement at all",IF(E8=1,"1 = UE does not participate functionally, but attempt is made", IF(E8=2, "2 = Does, but requires assistance of other arm, requires &gt;2 attempts, or very slow", IF(E8=3, "3 = Does, but movement influenced by synergy, performed slowly, or with great effort", IF(E8=4, "4 = Does, but movement is slightly slower, less precise than normal", IF(E8=5, "Movement appears to be normal", "Values must be 0 to 5, or 'na'.")))))))</f>
        <v>FAS values should be 0 to 5.</v>
      </c>
      <c r="G8" s="20" t="str">
        <f>IF(ISTEXT(D8)=TRUE,"Time values must be numeric",IF(D8&gt;120,"Max time is 120 s",""))</f>
        <v/>
      </c>
    </row>
    <row r="9" spans="1:7" ht="35.25" customHeight="1" x14ac:dyDescent="0.25">
      <c r="A9" s="10" t="s">
        <v>7</v>
      </c>
      <c r="B9" s="30" t="s">
        <v>38</v>
      </c>
      <c r="C9" s="31"/>
      <c r="D9" s="21"/>
      <c r="E9" s="22"/>
      <c r="F9" s="19" t="str">
        <f t="shared" ref="F9:F13" si="0">IF(E9="","FAS values should be 0 to 5.", IF(E9=0, "0 = does not attempt movement at all",IF(E9=1,"1 = UE does not participate functionally, but attempt is made", IF(E9=2, "2 = Does, but requires assistance of other arm, requires &gt;2 attempts, or very slow", IF(E9=3, "3 = Does, but movement influenced by synergy, performed slowly, or with great effort", IF(E9=4, "4 = Does, but movement is slightly slower, less precise than normal", IF(E9=5, "Movement appears to be normal", "Values must be 0 to 5, or 'na'.")))))))</f>
        <v>FAS values should be 0 to 5.</v>
      </c>
      <c r="G9" s="20" t="str">
        <f t="shared" ref="G9:G24" si="1">IF(ISTEXT(D9)=TRUE,"Time values must be numeric",IF(D9&gt;120,"Max time is 120 s",""))</f>
        <v/>
      </c>
    </row>
    <row r="10" spans="1:7" ht="35.25" customHeight="1" x14ac:dyDescent="0.25">
      <c r="A10" s="10" t="s">
        <v>15</v>
      </c>
      <c r="B10" s="30" t="s">
        <v>39</v>
      </c>
      <c r="C10" s="31"/>
      <c r="D10" s="21"/>
      <c r="E10" s="22"/>
      <c r="F10" s="19" t="str">
        <f t="shared" si="0"/>
        <v>FAS values should be 0 to 5.</v>
      </c>
      <c r="G10" s="20" t="str">
        <f t="shared" si="1"/>
        <v/>
      </c>
    </row>
    <row r="11" spans="1:7" ht="35.25" customHeight="1" x14ac:dyDescent="0.25">
      <c r="A11" s="10" t="s">
        <v>16</v>
      </c>
      <c r="B11" s="30" t="s">
        <v>40</v>
      </c>
      <c r="C11" s="31"/>
      <c r="D11" s="21"/>
      <c r="E11" s="22"/>
      <c r="F11" s="19" t="str">
        <f t="shared" si="0"/>
        <v>FAS values should be 0 to 5.</v>
      </c>
      <c r="G11" s="20" t="str">
        <f t="shared" si="1"/>
        <v/>
      </c>
    </row>
    <row r="12" spans="1:7" ht="35.25" customHeight="1" x14ac:dyDescent="0.25">
      <c r="A12" s="10" t="s">
        <v>2</v>
      </c>
      <c r="B12" s="30" t="s">
        <v>41</v>
      </c>
      <c r="C12" s="31"/>
      <c r="D12" s="23"/>
      <c r="E12" s="24"/>
      <c r="F12" s="19" t="str">
        <f t="shared" si="0"/>
        <v>FAS values should be 0 to 5.</v>
      </c>
      <c r="G12" s="20" t="str">
        <f t="shared" si="1"/>
        <v/>
      </c>
    </row>
    <row r="13" spans="1:7" ht="35.25" customHeight="1" x14ac:dyDescent="0.25">
      <c r="A13" s="10" t="s">
        <v>5</v>
      </c>
      <c r="B13" s="30" t="s">
        <v>44</v>
      </c>
      <c r="C13" s="31"/>
      <c r="D13" s="23"/>
      <c r="E13" s="24"/>
      <c r="F13" s="19" t="str">
        <f t="shared" si="0"/>
        <v>FAS values should be 0 to 5.</v>
      </c>
      <c r="G13" s="20" t="str">
        <f t="shared" si="1"/>
        <v/>
      </c>
    </row>
    <row r="14" spans="1:7" ht="35.25" customHeight="1" x14ac:dyDescent="0.25">
      <c r="A14" s="10" t="s">
        <v>17</v>
      </c>
      <c r="B14" s="30" t="s">
        <v>45</v>
      </c>
      <c r="C14" s="31"/>
      <c r="D14" s="27" t="s">
        <v>43</v>
      </c>
      <c r="E14" s="24"/>
      <c r="F14" s="19" t="str">
        <f>IF(ISTEXT(E14)=TRUE,"Weight values must be numeric", "Record weight in kgs rather than FAS")</f>
        <v>Record weight in kgs rather than FAS</v>
      </c>
      <c r="G14" s="20" t="s">
        <v>67</v>
      </c>
    </row>
    <row r="15" spans="1:7" ht="35.25" customHeight="1" x14ac:dyDescent="0.25">
      <c r="A15" s="10" t="s">
        <v>18</v>
      </c>
      <c r="B15" s="30" t="s">
        <v>46</v>
      </c>
      <c r="C15" s="31"/>
      <c r="D15" s="23"/>
      <c r="E15" s="24"/>
      <c r="F15" s="19" t="str">
        <f>IF(E15="","FAS values should be 0 to 5.", IF(E15=0, "0 = does not attempt movement at all",IF(E15=1,"1 = UE does not participate functionally, but attempt is made", IF(E15=2, "2 = Does, but requires assistance of other arm, requires &gt;2 attempts, or very slow", IF(E15=3, "3 = Does, but movement influenced by synergy, performed slowly, or with great effort", IF(E15=4, "4 = Does, but movement is slightly slower, less precise than normal", IF(E15=5, "Movement appears to be normal", "Values must be 0 to 5, or 'na'.")))))))</f>
        <v>FAS values should be 0 to 5.</v>
      </c>
      <c r="G15" s="20" t="str">
        <f t="shared" si="1"/>
        <v/>
      </c>
    </row>
    <row r="16" spans="1:7" ht="35.25" customHeight="1" x14ac:dyDescent="0.25">
      <c r="A16" s="10" t="s">
        <v>6</v>
      </c>
      <c r="B16" s="30" t="s">
        <v>47</v>
      </c>
      <c r="C16" s="31"/>
      <c r="D16" s="23"/>
      <c r="E16" s="24"/>
      <c r="F16" s="19" t="str">
        <f t="shared" ref="F16:F24" si="2">IF(E16="","FAS values should be 0 to 5.", IF(E16=0, "0 = does not attempt movement at all",IF(E16=1,"1 = UE does not participate functionally, but attempt is made", IF(E16=2, "2 = Does, but requires assistance of other arm, requires &gt;2 attempts, or very slow", IF(E16=3, "3 = Does, but movement influenced by synergy, performed slowly, or with great effort", IF(E16=4, "4 = Does, but movement is slightly slower, less precise than normal", IF(E16=5, "Movement appears to be normal", "Values must be 0 to 5, or 'na'.")))))))</f>
        <v>FAS values should be 0 to 5.</v>
      </c>
      <c r="G16" s="20" t="str">
        <f t="shared" si="1"/>
        <v/>
      </c>
    </row>
    <row r="17" spans="1:7" ht="35.25" customHeight="1" x14ac:dyDescent="0.25">
      <c r="A17" s="10" t="s">
        <v>19</v>
      </c>
      <c r="B17" s="30" t="s">
        <v>48</v>
      </c>
      <c r="C17" s="31"/>
      <c r="D17" s="23"/>
      <c r="E17" s="24"/>
      <c r="F17" s="19" t="str">
        <f t="shared" si="2"/>
        <v>FAS values should be 0 to 5.</v>
      </c>
      <c r="G17" s="20" t="str">
        <f t="shared" si="1"/>
        <v/>
      </c>
    </row>
    <row r="18" spans="1:7" ht="35.25" customHeight="1" x14ac:dyDescent="0.25">
      <c r="A18" s="10" t="s">
        <v>20</v>
      </c>
      <c r="B18" s="30" t="s">
        <v>49</v>
      </c>
      <c r="C18" s="31"/>
      <c r="D18" s="23"/>
      <c r="E18" s="24"/>
      <c r="F18" s="19" t="str">
        <f t="shared" si="2"/>
        <v>FAS values should be 0 to 5.</v>
      </c>
      <c r="G18" s="20" t="str">
        <f t="shared" si="1"/>
        <v/>
      </c>
    </row>
    <row r="19" spans="1:7" ht="35.25" customHeight="1" x14ac:dyDescent="0.25">
      <c r="A19" s="10" t="s">
        <v>21</v>
      </c>
      <c r="B19" s="30" t="s">
        <v>50</v>
      </c>
      <c r="C19" s="31"/>
      <c r="D19" s="23"/>
      <c r="E19" s="24"/>
      <c r="F19" s="19" t="str">
        <f t="shared" si="2"/>
        <v>FAS values should be 0 to 5.</v>
      </c>
      <c r="G19" s="20" t="str">
        <f t="shared" si="1"/>
        <v/>
      </c>
    </row>
    <row r="20" spans="1:7" ht="35.25" customHeight="1" x14ac:dyDescent="0.25">
      <c r="A20" s="10" t="s">
        <v>22</v>
      </c>
      <c r="B20" s="30" t="s">
        <v>51</v>
      </c>
      <c r="C20" s="31"/>
      <c r="D20" s="23"/>
      <c r="E20" s="24"/>
      <c r="F20" s="19" t="str">
        <f t="shared" si="2"/>
        <v>FAS values should be 0 to 5.</v>
      </c>
      <c r="G20" s="20" t="str">
        <f t="shared" si="1"/>
        <v/>
      </c>
    </row>
    <row r="21" spans="1:7" ht="35.25" customHeight="1" x14ac:dyDescent="0.25">
      <c r="A21" s="10" t="s">
        <v>23</v>
      </c>
      <c r="B21" s="30" t="s">
        <v>52</v>
      </c>
      <c r="C21" s="31"/>
      <c r="D21" s="27" t="s">
        <v>43</v>
      </c>
      <c r="E21" s="24"/>
      <c r="F21" s="19" t="str">
        <f>IF(ISTEXT(E21)=TRUE, "Grip strength values must be numeric", "Record grip strength in kgs rather than FAS")</f>
        <v>Record grip strength in kgs rather than FAS</v>
      </c>
      <c r="G21" s="20" t="s">
        <v>67</v>
      </c>
    </row>
    <row r="22" spans="1:7" ht="35.25" customHeight="1" x14ac:dyDescent="0.25">
      <c r="A22" s="10" t="s">
        <v>24</v>
      </c>
      <c r="B22" s="30" t="s">
        <v>53</v>
      </c>
      <c r="C22" s="31"/>
      <c r="D22" s="23"/>
      <c r="E22" s="24"/>
      <c r="F22" s="19" t="str">
        <f t="shared" si="2"/>
        <v>FAS values should be 0 to 5.</v>
      </c>
      <c r="G22" s="20" t="str">
        <f t="shared" si="1"/>
        <v/>
      </c>
    </row>
    <row r="23" spans="1:7" ht="35.25" customHeight="1" x14ac:dyDescent="0.25">
      <c r="A23" s="10" t="s">
        <v>25</v>
      </c>
      <c r="B23" s="30" t="s">
        <v>54</v>
      </c>
      <c r="C23" s="31"/>
      <c r="D23" s="23"/>
      <c r="E23" s="24"/>
      <c r="F23" s="19" t="str">
        <f t="shared" si="2"/>
        <v>FAS values should be 0 to 5.</v>
      </c>
      <c r="G23" s="20" t="str">
        <f t="shared" si="1"/>
        <v/>
      </c>
    </row>
    <row r="24" spans="1:7" ht="35.25" customHeight="1" thickBot="1" x14ac:dyDescent="0.3">
      <c r="A24" s="11" t="s">
        <v>26</v>
      </c>
      <c r="B24" s="28" t="s">
        <v>55</v>
      </c>
      <c r="C24" s="29"/>
      <c r="D24" s="25"/>
      <c r="E24" s="26"/>
      <c r="F24" s="19" t="str">
        <f t="shared" si="2"/>
        <v>FAS values should be 0 to 5.</v>
      </c>
      <c r="G24" s="20" t="str">
        <f t="shared" si="1"/>
        <v/>
      </c>
    </row>
  </sheetData>
  <mergeCells count="20">
    <mergeCell ref="B16:C16"/>
    <mergeCell ref="A1:F1"/>
    <mergeCell ref="D6:E6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23:C23"/>
    <mergeCell ref="B24:C24"/>
    <mergeCell ref="B17:C17"/>
    <mergeCell ref="B18:C18"/>
    <mergeCell ref="B19:C19"/>
    <mergeCell ref="B20:C20"/>
    <mergeCell ref="B21:C21"/>
    <mergeCell ref="B22:C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5"/>
  <sheetViews>
    <sheetView tabSelected="1" workbookViewId="0">
      <selection activeCell="E39" sqref="E39"/>
    </sheetView>
  </sheetViews>
  <sheetFormatPr defaultRowHeight="15" x14ac:dyDescent="0.25"/>
  <cols>
    <col min="1" max="1" width="9.140625" style="1"/>
    <col min="2" max="2" width="11" style="1" bestFit="1" customWidth="1"/>
    <col min="3" max="5" width="9.140625" style="1"/>
    <col min="6" max="6" width="11.28515625" style="1" bestFit="1" customWidth="1"/>
    <col min="7" max="7" width="10.7109375" style="1" bestFit="1" customWidth="1"/>
    <col min="8" max="8" width="9.140625" style="1"/>
    <col min="9" max="9" width="13.7109375" style="1" bestFit="1" customWidth="1"/>
    <col min="10" max="10" width="12.28515625" style="1" bestFit="1" customWidth="1"/>
    <col min="11" max="11" width="16" style="1" bestFit="1" customWidth="1"/>
    <col min="12" max="12" width="15.85546875" style="1" bestFit="1" customWidth="1"/>
    <col min="13" max="13" width="12.5703125" style="1" bestFit="1" customWidth="1"/>
  </cols>
  <sheetData>
    <row r="1" spans="1:13" x14ac:dyDescent="0.25">
      <c r="A1" s="13" t="s">
        <v>9</v>
      </c>
      <c r="B1" s="13" t="s">
        <v>27</v>
      </c>
      <c r="C1" s="13" t="s">
        <v>10</v>
      </c>
      <c r="D1" s="13" t="s">
        <v>11</v>
      </c>
      <c r="E1" s="13" t="s">
        <v>12</v>
      </c>
      <c r="F1" s="13" t="s">
        <v>28</v>
      </c>
      <c r="G1" s="13" t="s">
        <v>14</v>
      </c>
      <c r="H1" s="13" t="s">
        <v>13</v>
      </c>
      <c r="I1" s="13" t="s">
        <v>61</v>
      </c>
      <c r="J1" s="13" t="s">
        <v>62</v>
      </c>
      <c r="K1" s="13" t="s">
        <v>63</v>
      </c>
      <c r="L1" s="13" t="s">
        <v>64</v>
      </c>
      <c r="M1" s="13" t="s">
        <v>65</v>
      </c>
    </row>
    <row r="2" spans="1:13" x14ac:dyDescent="0.25">
      <c r="A2" s="1" t="str">
        <f>WMFT_Affected_Arm!B3</f>
        <v>ABC123</v>
      </c>
      <c r="B2" s="15" t="str">
        <f>WMFT_Affected_Arm!B4</f>
        <v>2018_07_11</v>
      </c>
      <c r="C2" s="1" t="str">
        <f>LEFT(WMFT_Affected_Arm!B4,4)</f>
        <v>2018</v>
      </c>
      <c r="D2" s="1" t="str">
        <f>RIGHT(LEFT(WMFT_Affected_Arm!B4,7),2)</f>
        <v>07</v>
      </c>
      <c r="E2" s="1" t="str">
        <f>RIGHT(WMFT_Affected_Arm!B4,2)</f>
        <v>11</v>
      </c>
      <c r="F2" s="1" t="s">
        <v>58</v>
      </c>
      <c r="G2" s="1" t="s">
        <v>60</v>
      </c>
      <c r="H2" s="1" t="str">
        <f>RIGHT(WMFT_Affected_Arm!A8,2)</f>
        <v>01</v>
      </c>
      <c r="I2" s="1" t="str">
        <f>IF(WMFT_Affected_Arm!D8="", "na",WMFT_Affected_Arm!D8)</f>
        <v>na</v>
      </c>
      <c r="J2" s="1" t="str">
        <f>IF(WMFT_Affected_Arm!E8="", "na",WMFT_Affected_Arm!E8)</f>
        <v>na</v>
      </c>
      <c r="K2" s="1" t="e">
        <f>MEDIAN(I2:I18)</f>
        <v>#NUM!</v>
      </c>
      <c r="L2" s="1">
        <f>SUM(J2:J7,J9:J14,J16:J18)</f>
        <v>0</v>
      </c>
      <c r="M2" s="1" t="e">
        <f>AVERAGE(J8,J15)</f>
        <v>#DIV/0!</v>
      </c>
    </row>
    <row r="3" spans="1:13" x14ac:dyDescent="0.25">
      <c r="A3" s="1" t="str">
        <f t="shared" ref="A3:F3" si="0">A2</f>
        <v>ABC123</v>
      </c>
      <c r="B3" s="1" t="str">
        <f t="shared" si="0"/>
        <v>2018_07_11</v>
      </c>
      <c r="C3" s="1" t="str">
        <f t="shared" si="0"/>
        <v>2018</v>
      </c>
      <c r="D3" s="1" t="str">
        <f t="shared" si="0"/>
        <v>07</v>
      </c>
      <c r="E3" s="1" t="str">
        <f t="shared" si="0"/>
        <v>11</v>
      </c>
      <c r="F3" s="1" t="str">
        <f t="shared" si="0"/>
        <v>WMFT</v>
      </c>
      <c r="G3" s="1" t="s">
        <v>60</v>
      </c>
      <c r="H3" s="1" t="str">
        <f>RIGHT(WMFT_Affected_Arm!A9,2)</f>
        <v>02</v>
      </c>
      <c r="I3" s="1" t="str">
        <f>IF(WMFT_Affected_Arm!D9="", "na",WMFT_Affected_Arm!D9)</f>
        <v>na</v>
      </c>
      <c r="J3" s="1" t="str">
        <f>IF(WMFT_Affected_Arm!E9="", "na",WMFT_Affected_Arm!E9)</f>
        <v>na</v>
      </c>
      <c r="K3" s="1" t="e">
        <f t="shared" ref="K3:M3" si="1">K2</f>
        <v>#NUM!</v>
      </c>
      <c r="L3" s="1">
        <f t="shared" si="1"/>
        <v>0</v>
      </c>
      <c r="M3" s="1" t="e">
        <f t="shared" si="1"/>
        <v>#DIV/0!</v>
      </c>
    </row>
    <row r="4" spans="1:13" x14ac:dyDescent="0.25">
      <c r="A4" s="1" t="str">
        <f t="shared" ref="A4:B18" si="2">A3</f>
        <v>ABC123</v>
      </c>
      <c r="B4" s="1" t="str">
        <f t="shared" si="2"/>
        <v>2018_07_11</v>
      </c>
      <c r="C4" s="1" t="str">
        <f t="shared" ref="C4:C18" si="3">C3</f>
        <v>2018</v>
      </c>
      <c r="D4" s="1" t="str">
        <f t="shared" ref="D4:D18" si="4">D3</f>
        <v>07</v>
      </c>
      <c r="E4" s="1" t="str">
        <f t="shared" ref="E4:F20" si="5">E3</f>
        <v>11</v>
      </c>
      <c r="F4" s="1" t="str">
        <f t="shared" si="5"/>
        <v>WMFT</v>
      </c>
      <c r="G4" s="1" t="s">
        <v>60</v>
      </c>
      <c r="H4" s="1" t="str">
        <f>RIGHT(WMFT_Affected_Arm!A10,2)</f>
        <v>03</v>
      </c>
      <c r="I4" s="1" t="str">
        <f>IF(WMFT_Affected_Arm!D10="", "na",WMFT_Affected_Arm!D10)</f>
        <v>na</v>
      </c>
      <c r="J4" s="1" t="str">
        <f>IF(WMFT_Affected_Arm!E10="", "na",WMFT_Affected_Arm!E10)</f>
        <v>na</v>
      </c>
      <c r="K4" s="1" t="e">
        <f t="shared" ref="K4:K18" si="6">K3</f>
        <v>#NUM!</v>
      </c>
      <c r="L4" s="1">
        <f t="shared" ref="L4:L18" si="7">L3</f>
        <v>0</v>
      </c>
      <c r="M4" s="1" t="e">
        <f t="shared" ref="M4:M18" si="8">M3</f>
        <v>#DIV/0!</v>
      </c>
    </row>
    <row r="5" spans="1:13" x14ac:dyDescent="0.25">
      <c r="A5" s="1" t="str">
        <f t="shared" si="2"/>
        <v>ABC123</v>
      </c>
      <c r="B5" s="1" t="str">
        <f t="shared" si="2"/>
        <v>2018_07_11</v>
      </c>
      <c r="C5" s="1" t="str">
        <f t="shared" si="3"/>
        <v>2018</v>
      </c>
      <c r="D5" s="1" t="str">
        <f t="shared" si="4"/>
        <v>07</v>
      </c>
      <c r="E5" s="1" t="str">
        <f t="shared" si="5"/>
        <v>11</v>
      </c>
      <c r="F5" s="1" t="str">
        <f t="shared" si="5"/>
        <v>WMFT</v>
      </c>
      <c r="G5" s="1" t="s">
        <v>60</v>
      </c>
      <c r="H5" s="1" t="str">
        <f>RIGHT(WMFT_Affected_Arm!A11,2)</f>
        <v>04</v>
      </c>
      <c r="I5" s="1" t="str">
        <f>IF(WMFT_Affected_Arm!D11="", "na",WMFT_Affected_Arm!D11)</f>
        <v>na</v>
      </c>
      <c r="J5" s="1" t="str">
        <f>IF(WMFT_Affected_Arm!E11="", "na",WMFT_Affected_Arm!E11)</f>
        <v>na</v>
      </c>
      <c r="K5" s="1" t="e">
        <f t="shared" si="6"/>
        <v>#NUM!</v>
      </c>
      <c r="L5" s="1">
        <f t="shared" si="7"/>
        <v>0</v>
      </c>
      <c r="M5" s="1" t="e">
        <f t="shared" si="8"/>
        <v>#DIV/0!</v>
      </c>
    </row>
    <row r="6" spans="1:13" ht="15" customHeight="1" x14ac:dyDescent="0.25">
      <c r="A6" s="1" t="str">
        <f t="shared" si="2"/>
        <v>ABC123</v>
      </c>
      <c r="B6" s="1" t="str">
        <f t="shared" si="2"/>
        <v>2018_07_11</v>
      </c>
      <c r="C6" s="1" t="str">
        <f t="shared" si="3"/>
        <v>2018</v>
      </c>
      <c r="D6" s="1" t="str">
        <f t="shared" si="4"/>
        <v>07</v>
      </c>
      <c r="E6" s="1" t="str">
        <f t="shared" si="5"/>
        <v>11</v>
      </c>
      <c r="F6" s="1" t="str">
        <f t="shared" si="5"/>
        <v>WMFT</v>
      </c>
      <c r="G6" s="1" t="s">
        <v>60</v>
      </c>
      <c r="H6" s="1" t="str">
        <f>RIGHT(WMFT_Affected_Arm!A12,2)</f>
        <v>05</v>
      </c>
      <c r="I6" s="1" t="str">
        <f>IF(WMFT_Affected_Arm!D12="", "na",WMFT_Affected_Arm!D12)</f>
        <v>na</v>
      </c>
      <c r="J6" s="1" t="str">
        <f>IF(WMFT_Affected_Arm!E12="", "na",WMFT_Affected_Arm!E12)</f>
        <v>na</v>
      </c>
      <c r="K6" s="1" t="e">
        <f t="shared" si="6"/>
        <v>#NUM!</v>
      </c>
      <c r="L6" s="1">
        <f t="shared" si="7"/>
        <v>0</v>
      </c>
      <c r="M6" s="1" t="e">
        <f t="shared" si="8"/>
        <v>#DIV/0!</v>
      </c>
    </row>
    <row r="7" spans="1:13" x14ac:dyDescent="0.25">
      <c r="A7" s="1" t="str">
        <f t="shared" si="2"/>
        <v>ABC123</v>
      </c>
      <c r="B7" s="1" t="str">
        <f t="shared" si="2"/>
        <v>2018_07_11</v>
      </c>
      <c r="C7" s="1" t="str">
        <f t="shared" si="3"/>
        <v>2018</v>
      </c>
      <c r="D7" s="1" t="str">
        <f t="shared" si="4"/>
        <v>07</v>
      </c>
      <c r="E7" s="1" t="str">
        <f t="shared" si="5"/>
        <v>11</v>
      </c>
      <c r="F7" s="1" t="str">
        <f t="shared" si="5"/>
        <v>WMFT</v>
      </c>
      <c r="G7" s="1" t="s">
        <v>60</v>
      </c>
      <c r="H7" s="1" t="str">
        <f>RIGHT(WMFT_Affected_Arm!A13,2)</f>
        <v>06</v>
      </c>
      <c r="I7" s="1" t="str">
        <f>IF(WMFT_Affected_Arm!D13="", "na",WMFT_Affected_Arm!D13)</f>
        <v>na</v>
      </c>
      <c r="J7" s="1" t="str">
        <f>IF(WMFT_Affected_Arm!E13="", "na",WMFT_Affected_Arm!E13)</f>
        <v>na</v>
      </c>
      <c r="K7" s="1" t="e">
        <f t="shared" si="6"/>
        <v>#NUM!</v>
      </c>
      <c r="L7" s="1">
        <f t="shared" si="7"/>
        <v>0</v>
      </c>
      <c r="M7" s="1" t="e">
        <f t="shared" si="8"/>
        <v>#DIV/0!</v>
      </c>
    </row>
    <row r="8" spans="1:13" x14ac:dyDescent="0.25">
      <c r="A8" s="1" t="str">
        <f t="shared" si="2"/>
        <v>ABC123</v>
      </c>
      <c r="B8" s="1" t="str">
        <f t="shared" si="2"/>
        <v>2018_07_11</v>
      </c>
      <c r="C8" s="1" t="str">
        <f t="shared" si="3"/>
        <v>2018</v>
      </c>
      <c r="D8" s="1" t="str">
        <f t="shared" si="4"/>
        <v>07</v>
      </c>
      <c r="E8" s="1" t="str">
        <f t="shared" si="5"/>
        <v>11</v>
      </c>
      <c r="F8" s="1" t="str">
        <f t="shared" si="5"/>
        <v>WMFT</v>
      </c>
      <c r="G8" s="1" t="s">
        <v>60</v>
      </c>
      <c r="H8" s="1" t="str">
        <f>RIGHT(WMFT_Affected_Arm!A14,2)</f>
        <v>07</v>
      </c>
      <c r="I8" s="1" t="str">
        <f>IF(WMFT_Affected_Arm!D14="", "na",WMFT_Affected_Arm!D14)</f>
        <v>na</v>
      </c>
      <c r="J8" s="1" t="str">
        <f>IF(WMFT_Affected_Arm!E14="", "na",WMFT_Affected_Arm!E14)</f>
        <v>na</v>
      </c>
      <c r="K8" s="1" t="e">
        <f t="shared" si="6"/>
        <v>#NUM!</v>
      </c>
      <c r="L8" s="1">
        <f t="shared" si="7"/>
        <v>0</v>
      </c>
      <c r="M8" s="1" t="e">
        <f t="shared" si="8"/>
        <v>#DIV/0!</v>
      </c>
    </row>
    <row r="9" spans="1:13" x14ac:dyDescent="0.25">
      <c r="A9" s="1" t="str">
        <f t="shared" si="2"/>
        <v>ABC123</v>
      </c>
      <c r="B9" s="1" t="str">
        <f t="shared" si="2"/>
        <v>2018_07_11</v>
      </c>
      <c r="C9" s="1" t="str">
        <f t="shared" si="3"/>
        <v>2018</v>
      </c>
      <c r="D9" s="1" t="str">
        <f t="shared" si="4"/>
        <v>07</v>
      </c>
      <c r="E9" s="1" t="str">
        <f t="shared" si="5"/>
        <v>11</v>
      </c>
      <c r="F9" s="1" t="str">
        <f t="shared" si="5"/>
        <v>WMFT</v>
      </c>
      <c r="G9" s="1" t="s">
        <v>60</v>
      </c>
      <c r="H9" s="1" t="str">
        <f>RIGHT(WMFT_Affected_Arm!A15,2)</f>
        <v>08</v>
      </c>
      <c r="I9" s="1" t="str">
        <f>IF(WMFT_Affected_Arm!D15="", "na",WMFT_Affected_Arm!D15)</f>
        <v>na</v>
      </c>
      <c r="J9" s="1" t="str">
        <f>IF(WMFT_Affected_Arm!E15="", "na",WMFT_Affected_Arm!E15)</f>
        <v>na</v>
      </c>
      <c r="K9" s="1" t="e">
        <f t="shared" si="6"/>
        <v>#NUM!</v>
      </c>
      <c r="L9" s="1">
        <f t="shared" si="7"/>
        <v>0</v>
      </c>
      <c r="M9" s="1" t="e">
        <f t="shared" si="8"/>
        <v>#DIV/0!</v>
      </c>
    </row>
    <row r="10" spans="1:13" x14ac:dyDescent="0.25">
      <c r="A10" s="1" t="str">
        <f t="shared" si="2"/>
        <v>ABC123</v>
      </c>
      <c r="B10" s="1" t="str">
        <f t="shared" si="2"/>
        <v>2018_07_11</v>
      </c>
      <c r="C10" s="1" t="str">
        <f t="shared" si="3"/>
        <v>2018</v>
      </c>
      <c r="D10" s="1" t="str">
        <f t="shared" si="4"/>
        <v>07</v>
      </c>
      <c r="E10" s="1" t="str">
        <f t="shared" si="5"/>
        <v>11</v>
      </c>
      <c r="F10" s="1" t="str">
        <f t="shared" si="5"/>
        <v>WMFT</v>
      </c>
      <c r="G10" s="1" t="s">
        <v>60</v>
      </c>
      <c r="H10" s="1" t="str">
        <f>RIGHT(WMFT_Affected_Arm!A16,2)</f>
        <v>09</v>
      </c>
      <c r="I10" s="1" t="str">
        <f>IF(WMFT_Affected_Arm!D16="", "na",WMFT_Affected_Arm!D16)</f>
        <v>na</v>
      </c>
      <c r="J10" s="1" t="str">
        <f>IF(WMFT_Affected_Arm!E16="", "na",WMFT_Affected_Arm!E16)</f>
        <v>na</v>
      </c>
      <c r="K10" s="1" t="e">
        <f t="shared" si="6"/>
        <v>#NUM!</v>
      </c>
      <c r="L10" s="1">
        <f t="shared" si="7"/>
        <v>0</v>
      </c>
      <c r="M10" s="1" t="e">
        <f t="shared" si="8"/>
        <v>#DIV/0!</v>
      </c>
    </row>
    <row r="11" spans="1:13" x14ac:dyDescent="0.25">
      <c r="A11" s="1" t="str">
        <f t="shared" si="2"/>
        <v>ABC123</v>
      </c>
      <c r="B11" s="1" t="str">
        <f t="shared" si="2"/>
        <v>2018_07_11</v>
      </c>
      <c r="C11" s="1" t="str">
        <f t="shared" si="3"/>
        <v>2018</v>
      </c>
      <c r="D11" s="1" t="str">
        <f t="shared" si="4"/>
        <v>07</v>
      </c>
      <c r="E11" s="1" t="str">
        <f t="shared" si="5"/>
        <v>11</v>
      </c>
      <c r="F11" s="1" t="str">
        <f t="shared" si="5"/>
        <v>WMFT</v>
      </c>
      <c r="G11" s="1" t="s">
        <v>60</v>
      </c>
      <c r="H11" s="1" t="str">
        <f>RIGHT(WMFT_Affected_Arm!A17,2)</f>
        <v>10</v>
      </c>
      <c r="I11" s="1" t="str">
        <f>IF(WMFT_Affected_Arm!D17="", "na",WMFT_Affected_Arm!D17)</f>
        <v>na</v>
      </c>
      <c r="J11" s="1" t="str">
        <f>IF(WMFT_Affected_Arm!E17="", "na",WMFT_Affected_Arm!E17)</f>
        <v>na</v>
      </c>
      <c r="K11" s="1" t="e">
        <f t="shared" si="6"/>
        <v>#NUM!</v>
      </c>
      <c r="L11" s="1">
        <f t="shared" si="7"/>
        <v>0</v>
      </c>
      <c r="M11" s="1" t="e">
        <f t="shared" si="8"/>
        <v>#DIV/0!</v>
      </c>
    </row>
    <row r="12" spans="1:13" x14ac:dyDescent="0.25">
      <c r="A12" s="1" t="str">
        <f t="shared" si="2"/>
        <v>ABC123</v>
      </c>
      <c r="B12" s="1" t="str">
        <f t="shared" si="2"/>
        <v>2018_07_11</v>
      </c>
      <c r="C12" s="1" t="str">
        <f t="shared" si="3"/>
        <v>2018</v>
      </c>
      <c r="D12" s="1" t="str">
        <f t="shared" si="4"/>
        <v>07</v>
      </c>
      <c r="E12" s="1" t="str">
        <f t="shared" si="5"/>
        <v>11</v>
      </c>
      <c r="F12" s="1" t="str">
        <f t="shared" si="5"/>
        <v>WMFT</v>
      </c>
      <c r="G12" s="1" t="s">
        <v>60</v>
      </c>
      <c r="H12" s="1" t="str">
        <f>RIGHT(WMFT_Affected_Arm!A18,2)</f>
        <v>11</v>
      </c>
      <c r="I12" s="1" t="str">
        <f>IF(WMFT_Affected_Arm!D18="", "na",WMFT_Affected_Arm!D18)</f>
        <v>na</v>
      </c>
      <c r="J12" s="1" t="str">
        <f>IF(WMFT_Affected_Arm!E18="", "na",WMFT_Affected_Arm!E18)</f>
        <v>na</v>
      </c>
      <c r="K12" s="1" t="e">
        <f t="shared" si="6"/>
        <v>#NUM!</v>
      </c>
      <c r="L12" s="1">
        <f t="shared" si="7"/>
        <v>0</v>
      </c>
      <c r="M12" s="1" t="e">
        <f t="shared" si="8"/>
        <v>#DIV/0!</v>
      </c>
    </row>
    <row r="13" spans="1:13" x14ac:dyDescent="0.25">
      <c r="A13" s="1" t="str">
        <f t="shared" si="2"/>
        <v>ABC123</v>
      </c>
      <c r="B13" s="1" t="str">
        <f t="shared" si="2"/>
        <v>2018_07_11</v>
      </c>
      <c r="C13" s="1" t="str">
        <f t="shared" si="3"/>
        <v>2018</v>
      </c>
      <c r="D13" s="1" t="str">
        <f t="shared" si="4"/>
        <v>07</v>
      </c>
      <c r="E13" s="1" t="str">
        <f t="shared" si="5"/>
        <v>11</v>
      </c>
      <c r="F13" s="1" t="str">
        <f t="shared" si="5"/>
        <v>WMFT</v>
      </c>
      <c r="G13" s="1" t="s">
        <v>60</v>
      </c>
      <c r="H13" s="1" t="str">
        <f>RIGHT(WMFT_Affected_Arm!A19,2)</f>
        <v>12</v>
      </c>
      <c r="I13" s="1" t="str">
        <f>IF(WMFT_Affected_Arm!D19="", "na",WMFT_Affected_Arm!D19)</f>
        <v>na</v>
      </c>
      <c r="J13" s="1" t="str">
        <f>IF(WMFT_Affected_Arm!E19="", "na",WMFT_Affected_Arm!E19)</f>
        <v>na</v>
      </c>
      <c r="K13" s="1" t="e">
        <f t="shared" si="6"/>
        <v>#NUM!</v>
      </c>
      <c r="L13" s="1">
        <f t="shared" si="7"/>
        <v>0</v>
      </c>
      <c r="M13" s="1" t="e">
        <f t="shared" si="8"/>
        <v>#DIV/0!</v>
      </c>
    </row>
    <row r="14" spans="1:13" x14ac:dyDescent="0.25">
      <c r="A14" s="1" t="str">
        <f t="shared" si="2"/>
        <v>ABC123</v>
      </c>
      <c r="B14" s="1" t="str">
        <f t="shared" si="2"/>
        <v>2018_07_11</v>
      </c>
      <c r="C14" s="1" t="str">
        <f t="shared" si="3"/>
        <v>2018</v>
      </c>
      <c r="D14" s="1" t="str">
        <f t="shared" si="4"/>
        <v>07</v>
      </c>
      <c r="E14" s="1" t="str">
        <f t="shared" si="5"/>
        <v>11</v>
      </c>
      <c r="F14" s="1" t="str">
        <f t="shared" si="5"/>
        <v>WMFT</v>
      </c>
      <c r="G14" s="1" t="s">
        <v>60</v>
      </c>
      <c r="H14" s="1" t="str">
        <f>RIGHT(WMFT_Affected_Arm!A20,2)</f>
        <v>13</v>
      </c>
      <c r="I14" s="1" t="str">
        <f>IF(WMFT_Affected_Arm!D20="", "na",WMFT_Affected_Arm!D20)</f>
        <v>na</v>
      </c>
      <c r="J14" s="1" t="str">
        <f>IF(WMFT_Affected_Arm!E20="", "na",WMFT_Affected_Arm!E20)</f>
        <v>na</v>
      </c>
      <c r="K14" s="1" t="e">
        <f t="shared" si="6"/>
        <v>#NUM!</v>
      </c>
      <c r="L14" s="1">
        <f t="shared" si="7"/>
        <v>0</v>
      </c>
      <c r="M14" s="1" t="e">
        <f t="shared" si="8"/>
        <v>#DIV/0!</v>
      </c>
    </row>
    <row r="15" spans="1:13" x14ac:dyDescent="0.25">
      <c r="A15" s="1" t="str">
        <f t="shared" si="2"/>
        <v>ABC123</v>
      </c>
      <c r="B15" s="1" t="str">
        <f t="shared" si="2"/>
        <v>2018_07_11</v>
      </c>
      <c r="C15" s="1" t="str">
        <f t="shared" si="3"/>
        <v>2018</v>
      </c>
      <c r="D15" s="1" t="str">
        <f t="shared" si="4"/>
        <v>07</v>
      </c>
      <c r="E15" s="1" t="str">
        <f t="shared" si="5"/>
        <v>11</v>
      </c>
      <c r="F15" s="1" t="str">
        <f t="shared" si="5"/>
        <v>WMFT</v>
      </c>
      <c r="G15" s="1" t="s">
        <v>60</v>
      </c>
      <c r="H15" s="1" t="str">
        <f>RIGHT(WMFT_Affected_Arm!A21,2)</f>
        <v>14</v>
      </c>
      <c r="I15" s="1" t="str">
        <f>IF(WMFT_Affected_Arm!D21="", "na",WMFT_Affected_Arm!D21)</f>
        <v>na</v>
      </c>
      <c r="J15" s="1" t="str">
        <f>IF(WMFT_Affected_Arm!E21="", "na",WMFT_Affected_Arm!E21)</f>
        <v>na</v>
      </c>
      <c r="K15" s="1" t="e">
        <f t="shared" si="6"/>
        <v>#NUM!</v>
      </c>
      <c r="L15" s="1">
        <f t="shared" si="7"/>
        <v>0</v>
      </c>
      <c r="M15" s="1" t="e">
        <f t="shared" si="8"/>
        <v>#DIV/0!</v>
      </c>
    </row>
    <row r="16" spans="1:13" x14ac:dyDescent="0.25">
      <c r="A16" s="1" t="str">
        <f t="shared" si="2"/>
        <v>ABC123</v>
      </c>
      <c r="B16" s="1" t="str">
        <f t="shared" si="2"/>
        <v>2018_07_11</v>
      </c>
      <c r="C16" s="1" t="str">
        <f t="shared" si="3"/>
        <v>2018</v>
      </c>
      <c r="D16" s="1" t="str">
        <f t="shared" si="4"/>
        <v>07</v>
      </c>
      <c r="E16" s="1" t="str">
        <f t="shared" si="5"/>
        <v>11</v>
      </c>
      <c r="F16" s="1" t="str">
        <f t="shared" si="5"/>
        <v>WMFT</v>
      </c>
      <c r="G16" s="1" t="s">
        <v>60</v>
      </c>
      <c r="H16" s="1" t="str">
        <f>RIGHT(WMFT_Affected_Arm!A22,2)</f>
        <v>15</v>
      </c>
      <c r="I16" s="1" t="str">
        <f>IF(WMFT_Affected_Arm!D22="", "na",WMFT_Affected_Arm!D22)</f>
        <v>na</v>
      </c>
      <c r="J16" s="1" t="str">
        <f>IF(WMFT_Affected_Arm!E22="", "na",WMFT_Affected_Arm!E22)</f>
        <v>na</v>
      </c>
      <c r="K16" s="1" t="e">
        <f t="shared" si="6"/>
        <v>#NUM!</v>
      </c>
      <c r="L16" s="1">
        <f t="shared" si="7"/>
        <v>0</v>
      </c>
      <c r="M16" s="1" t="e">
        <f t="shared" si="8"/>
        <v>#DIV/0!</v>
      </c>
    </row>
    <row r="17" spans="1:13" x14ac:dyDescent="0.25">
      <c r="A17" s="1" t="str">
        <f t="shared" si="2"/>
        <v>ABC123</v>
      </c>
      <c r="B17" s="1" t="str">
        <f t="shared" si="2"/>
        <v>2018_07_11</v>
      </c>
      <c r="C17" s="1" t="str">
        <f t="shared" si="3"/>
        <v>2018</v>
      </c>
      <c r="D17" s="1" t="str">
        <f t="shared" si="4"/>
        <v>07</v>
      </c>
      <c r="E17" s="1" t="str">
        <f t="shared" si="5"/>
        <v>11</v>
      </c>
      <c r="F17" s="1" t="str">
        <f t="shared" si="5"/>
        <v>WMFT</v>
      </c>
      <c r="G17" s="1" t="s">
        <v>60</v>
      </c>
      <c r="H17" s="1" t="str">
        <f>RIGHT(WMFT_Affected_Arm!A23,2)</f>
        <v>16</v>
      </c>
      <c r="I17" s="1" t="str">
        <f>IF(WMFT_Affected_Arm!D23="", "na",WMFT_Affected_Arm!D23)</f>
        <v>na</v>
      </c>
      <c r="J17" s="1" t="str">
        <f>IF(WMFT_Affected_Arm!E23="", "na",WMFT_Affected_Arm!E23)</f>
        <v>na</v>
      </c>
      <c r="K17" s="1" t="e">
        <f t="shared" si="6"/>
        <v>#NUM!</v>
      </c>
      <c r="L17" s="1">
        <f t="shared" si="7"/>
        <v>0</v>
      </c>
      <c r="M17" s="1" t="e">
        <f t="shared" si="8"/>
        <v>#DIV/0!</v>
      </c>
    </row>
    <row r="18" spans="1:13" x14ac:dyDescent="0.25">
      <c r="A18" s="1" t="str">
        <f t="shared" si="2"/>
        <v>ABC123</v>
      </c>
      <c r="B18" s="1" t="str">
        <f t="shared" si="2"/>
        <v>2018_07_11</v>
      </c>
      <c r="C18" s="1" t="str">
        <f t="shared" si="3"/>
        <v>2018</v>
      </c>
      <c r="D18" s="1" t="str">
        <f t="shared" si="4"/>
        <v>07</v>
      </c>
      <c r="E18" s="1" t="str">
        <f t="shared" si="5"/>
        <v>11</v>
      </c>
      <c r="F18" s="1" t="str">
        <f t="shared" si="5"/>
        <v>WMFT</v>
      </c>
      <c r="G18" s="1" t="s">
        <v>60</v>
      </c>
      <c r="H18" s="1" t="str">
        <f>RIGHT(WMFT_Affected_Arm!A24,2)</f>
        <v>17</v>
      </c>
      <c r="I18" s="1" t="str">
        <f>IF(WMFT_Affected_Arm!D24="", "na",WMFT_Affected_Arm!D24)</f>
        <v>na</v>
      </c>
      <c r="J18" s="1" t="str">
        <f>IF(WMFT_Affected_Arm!E24="", "na",WMFT_Affected_Arm!E24)</f>
        <v>na</v>
      </c>
      <c r="K18" s="1" t="e">
        <f t="shared" si="6"/>
        <v>#NUM!</v>
      </c>
      <c r="L18" s="1">
        <f t="shared" si="7"/>
        <v>0</v>
      </c>
      <c r="M18" s="1" t="e">
        <f t="shared" si="8"/>
        <v>#DIV/0!</v>
      </c>
    </row>
    <row r="19" spans="1:13" x14ac:dyDescent="0.25">
      <c r="A19" s="1" t="str">
        <f>WMFT_Unaffected_Arm!B3</f>
        <v>ABC123</v>
      </c>
      <c r="B19" s="15" t="str">
        <f>WMFT_Unaffected_Arm!B4</f>
        <v>2018_07_11</v>
      </c>
      <c r="C19" s="1" t="str">
        <f>LEFT(WMFT_Unaffected_Arm!B4,4)</f>
        <v>2018</v>
      </c>
      <c r="D19" s="1" t="str">
        <f>RIGHT(LEFT(WMFT_Unaffected_Arm!B4,7),2)</f>
        <v>07</v>
      </c>
      <c r="E19" s="1" t="str">
        <f>RIGHT(WMFT_Unaffected_Arm!B4,2)</f>
        <v>11</v>
      </c>
      <c r="F19" s="1" t="str">
        <f t="shared" si="5"/>
        <v>WMFT</v>
      </c>
      <c r="G19" s="1" t="s">
        <v>66</v>
      </c>
      <c r="H19" s="1" t="str">
        <f>RIGHT(WMFT_Unaffected_Arm!A8,2)</f>
        <v>01</v>
      </c>
      <c r="I19" s="1" t="str">
        <f>IF(WMFT_Unaffected_Arm!D8="", "na",WMFT_Unaffected_Arm!D8)</f>
        <v>na</v>
      </c>
      <c r="J19" s="1" t="str">
        <f>IF(WMFT_Unaffected_Arm!E8="", "na",WMFT_Unaffected_Arm!E8)</f>
        <v>na</v>
      </c>
      <c r="K19" s="1" t="e">
        <f>MEDIAN(I19:I35)</f>
        <v>#NUM!</v>
      </c>
      <c r="L19" s="1">
        <f>SUM(J19:J24,J26:J31,J33:J35)</f>
        <v>0</v>
      </c>
      <c r="M19" s="1" t="e">
        <f>AVERAGE(J25,J32)</f>
        <v>#DIV/0!</v>
      </c>
    </row>
    <row r="20" spans="1:13" x14ac:dyDescent="0.25">
      <c r="A20" s="1" t="str">
        <f t="shared" ref="A20:E20" si="9">A19</f>
        <v>ABC123</v>
      </c>
      <c r="B20" s="1" t="str">
        <f t="shared" si="9"/>
        <v>2018_07_11</v>
      </c>
      <c r="C20" s="1" t="str">
        <f t="shared" si="9"/>
        <v>2018</v>
      </c>
      <c r="D20" s="1" t="str">
        <f t="shared" si="9"/>
        <v>07</v>
      </c>
      <c r="E20" s="1" t="str">
        <f t="shared" si="9"/>
        <v>11</v>
      </c>
      <c r="F20" s="1" t="str">
        <f t="shared" si="5"/>
        <v>WMFT</v>
      </c>
      <c r="G20" s="1" t="s">
        <v>66</v>
      </c>
      <c r="H20" s="1" t="str">
        <f>RIGHT(WMFT_Unaffected_Arm!A9,2)</f>
        <v>02</v>
      </c>
      <c r="I20" s="1" t="str">
        <f>IF(WMFT_Unaffected_Arm!D9="", "na",WMFT_Unaffected_Arm!D9)</f>
        <v>na</v>
      </c>
      <c r="J20" s="1" t="str">
        <f>IF(WMFT_Unaffected_Arm!E9="", "na",WMFT_Unaffected_Arm!E9)</f>
        <v>na</v>
      </c>
      <c r="K20" s="1" t="e">
        <f t="shared" ref="K20:M20" si="10">K19</f>
        <v>#NUM!</v>
      </c>
      <c r="L20" s="1">
        <f t="shared" si="10"/>
        <v>0</v>
      </c>
      <c r="M20" s="1" t="e">
        <f t="shared" si="10"/>
        <v>#DIV/0!</v>
      </c>
    </row>
    <row r="21" spans="1:13" x14ac:dyDescent="0.25">
      <c r="A21" s="1" t="str">
        <f t="shared" ref="A21:E21" si="11">A20</f>
        <v>ABC123</v>
      </c>
      <c r="B21" s="1" t="str">
        <f t="shared" si="11"/>
        <v>2018_07_11</v>
      </c>
      <c r="C21" s="1" t="str">
        <f t="shared" si="11"/>
        <v>2018</v>
      </c>
      <c r="D21" s="1" t="str">
        <f t="shared" si="11"/>
        <v>07</v>
      </c>
      <c r="E21" s="1" t="str">
        <f t="shared" si="11"/>
        <v>11</v>
      </c>
      <c r="F21" s="1" t="str">
        <f t="shared" ref="F21" si="12">F20</f>
        <v>WMFT</v>
      </c>
      <c r="G21" s="1" t="s">
        <v>66</v>
      </c>
      <c r="H21" s="1" t="str">
        <f>RIGHT(WMFT_Unaffected_Arm!A10,2)</f>
        <v>03</v>
      </c>
      <c r="I21" s="1" t="str">
        <f>IF(WMFT_Unaffected_Arm!D10="", "na",WMFT_Unaffected_Arm!D10)</f>
        <v>na</v>
      </c>
      <c r="J21" s="1" t="str">
        <f>IF(WMFT_Unaffected_Arm!E10="", "na",WMFT_Unaffected_Arm!E10)</f>
        <v>na</v>
      </c>
      <c r="K21" s="1" t="e">
        <f t="shared" ref="K21:M21" si="13">K20</f>
        <v>#NUM!</v>
      </c>
      <c r="L21" s="1">
        <f t="shared" si="13"/>
        <v>0</v>
      </c>
      <c r="M21" s="1" t="e">
        <f t="shared" si="13"/>
        <v>#DIV/0!</v>
      </c>
    </row>
    <row r="22" spans="1:13" x14ac:dyDescent="0.25">
      <c r="A22" s="1" t="str">
        <f t="shared" ref="A22:E22" si="14">A21</f>
        <v>ABC123</v>
      </c>
      <c r="B22" s="1" t="str">
        <f t="shared" si="14"/>
        <v>2018_07_11</v>
      </c>
      <c r="C22" s="1" t="str">
        <f t="shared" si="14"/>
        <v>2018</v>
      </c>
      <c r="D22" s="1" t="str">
        <f t="shared" si="14"/>
        <v>07</v>
      </c>
      <c r="E22" s="1" t="str">
        <f t="shared" si="14"/>
        <v>11</v>
      </c>
      <c r="F22" s="1" t="str">
        <f t="shared" ref="F22" si="15">F21</f>
        <v>WMFT</v>
      </c>
      <c r="G22" s="1" t="s">
        <v>66</v>
      </c>
      <c r="H22" s="1" t="str">
        <f>RIGHT(WMFT_Unaffected_Arm!A11,2)</f>
        <v>04</v>
      </c>
      <c r="I22" s="1" t="str">
        <f>IF(WMFT_Unaffected_Arm!D11="", "na",WMFT_Unaffected_Arm!D11)</f>
        <v>na</v>
      </c>
      <c r="J22" s="1" t="str">
        <f>IF(WMFT_Unaffected_Arm!E11="", "na",WMFT_Unaffected_Arm!E11)</f>
        <v>na</v>
      </c>
      <c r="K22" s="1" t="e">
        <f t="shared" ref="K22:M22" si="16">K21</f>
        <v>#NUM!</v>
      </c>
      <c r="L22" s="1">
        <f t="shared" si="16"/>
        <v>0</v>
      </c>
      <c r="M22" s="1" t="e">
        <f t="shared" si="16"/>
        <v>#DIV/0!</v>
      </c>
    </row>
    <row r="23" spans="1:13" x14ac:dyDescent="0.25">
      <c r="A23" s="1" t="str">
        <f t="shared" ref="A23:E23" si="17">A22</f>
        <v>ABC123</v>
      </c>
      <c r="B23" s="1" t="str">
        <f t="shared" si="17"/>
        <v>2018_07_11</v>
      </c>
      <c r="C23" s="1" t="str">
        <f t="shared" si="17"/>
        <v>2018</v>
      </c>
      <c r="D23" s="1" t="str">
        <f t="shared" si="17"/>
        <v>07</v>
      </c>
      <c r="E23" s="1" t="str">
        <f t="shared" si="17"/>
        <v>11</v>
      </c>
      <c r="F23" s="1" t="str">
        <f t="shared" ref="F23" si="18">F22</f>
        <v>WMFT</v>
      </c>
      <c r="G23" s="1" t="s">
        <v>66</v>
      </c>
      <c r="H23" s="1" t="str">
        <f>RIGHT(WMFT_Unaffected_Arm!A12,2)</f>
        <v>05</v>
      </c>
      <c r="I23" s="1" t="str">
        <f>IF(WMFT_Unaffected_Arm!D12="", "na",WMFT_Unaffected_Arm!D12)</f>
        <v>na</v>
      </c>
      <c r="J23" s="1" t="str">
        <f>IF(WMFT_Unaffected_Arm!E12="", "na",WMFT_Unaffected_Arm!E12)</f>
        <v>na</v>
      </c>
      <c r="K23" s="1" t="e">
        <f t="shared" ref="K23:M23" si="19">K22</f>
        <v>#NUM!</v>
      </c>
      <c r="L23" s="1">
        <f t="shared" si="19"/>
        <v>0</v>
      </c>
      <c r="M23" s="1" t="e">
        <f t="shared" si="19"/>
        <v>#DIV/0!</v>
      </c>
    </row>
    <row r="24" spans="1:13" x14ac:dyDescent="0.25">
      <c r="A24" s="1" t="str">
        <f t="shared" ref="A24:E24" si="20">A23</f>
        <v>ABC123</v>
      </c>
      <c r="B24" s="1" t="str">
        <f t="shared" si="20"/>
        <v>2018_07_11</v>
      </c>
      <c r="C24" s="1" t="str">
        <f t="shared" si="20"/>
        <v>2018</v>
      </c>
      <c r="D24" s="1" t="str">
        <f t="shared" si="20"/>
        <v>07</v>
      </c>
      <c r="E24" s="1" t="str">
        <f t="shared" si="20"/>
        <v>11</v>
      </c>
      <c r="F24" s="1" t="str">
        <f t="shared" ref="F24" si="21">F23</f>
        <v>WMFT</v>
      </c>
      <c r="G24" s="1" t="s">
        <v>66</v>
      </c>
      <c r="H24" s="1" t="str">
        <f>RIGHT(WMFT_Unaffected_Arm!A13,2)</f>
        <v>06</v>
      </c>
      <c r="I24" s="1" t="str">
        <f>IF(WMFT_Unaffected_Arm!D13="", "na",WMFT_Unaffected_Arm!D13)</f>
        <v>na</v>
      </c>
      <c r="J24" s="1" t="str">
        <f>IF(WMFT_Unaffected_Arm!E13="", "na",WMFT_Unaffected_Arm!E13)</f>
        <v>na</v>
      </c>
      <c r="K24" s="1" t="e">
        <f t="shared" ref="K24:M24" si="22">K23</f>
        <v>#NUM!</v>
      </c>
      <c r="L24" s="1">
        <f t="shared" si="22"/>
        <v>0</v>
      </c>
      <c r="M24" s="1" t="e">
        <f t="shared" si="22"/>
        <v>#DIV/0!</v>
      </c>
    </row>
    <row r="25" spans="1:13" x14ac:dyDescent="0.25">
      <c r="A25" s="1" t="str">
        <f t="shared" ref="A25:E25" si="23">A24</f>
        <v>ABC123</v>
      </c>
      <c r="B25" s="1" t="str">
        <f t="shared" si="23"/>
        <v>2018_07_11</v>
      </c>
      <c r="C25" s="1" t="str">
        <f t="shared" si="23"/>
        <v>2018</v>
      </c>
      <c r="D25" s="1" t="str">
        <f t="shared" si="23"/>
        <v>07</v>
      </c>
      <c r="E25" s="1" t="str">
        <f t="shared" si="23"/>
        <v>11</v>
      </c>
      <c r="F25" s="1" t="str">
        <f t="shared" ref="F25" si="24">F24</f>
        <v>WMFT</v>
      </c>
      <c r="G25" s="1" t="s">
        <v>66</v>
      </c>
      <c r="H25" s="1" t="str">
        <f>RIGHT(WMFT_Unaffected_Arm!A14,2)</f>
        <v>07</v>
      </c>
      <c r="I25" s="1" t="str">
        <f>IF(WMFT_Unaffected_Arm!D14="", "na",WMFT_Unaffected_Arm!D14)</f>
        <v>na</v>
      </c>
      <c r="J25" s="1" t="str">
        <f>IF(WMFT_Unaffected_Arm!E14="", "na",WMFT_Unaffected_Arm!E14)</f>
        <v>na</v>
      </c>
      <c r="K25" s="1" t="e">
        <f t="shared" ref="K25:M25" si="25">K24</f>
        <v>#NUM!</v>
      </c>
      <c r="L25" s="1">
        <f t="shared" si="25"/>
        <v>0</v>
      </c>
      <c r="M25" s="1" t="e">
        <f t="shared" si="25"/>
        <v>#DIV/0!</v>
      </c>
    </row>
    <row r="26" spans="1:13" x14ac:dyDescent="0.25">
      <c r="A26" s="1" t="str">
        <f t="shared" ref="A26:E26" si="26">A25</f>
        <v>ABC123</v>
      </c>
      <c r="B26" s="1" t="str">
        <f t="shared" si="26"/>
        <v>2018_07_11</v>
      </c>
      <c r="C26" s="1" t="str">
        <f t="shared" si="26"/>
        <v>2018</v>
      </c>
      <c r="D26" s="1" t="str">
        <f t="shared" si="26"/>
        <v>07</v>
      </c>
      <c r="E26" s="1" t="str">
        <f t="shared" si="26"/>
        <v>11</v>
      </c>
      <c r="F26" s="1" t="str">
        <f t="shared" ref="F26" si="27">F25</f>
        <v>WMFT</v>
      </c>
      <c r="G26" s="1" t="s">
        <v>66</v>
      </c>
      <c r="H26" s="1" t="str">
        <f>RIGHT(WMFT_Unaffected_Arm!A15,2)</f>
        <v>08</v>
      </c>
      <c r="I26" s="1" t="str">
        <f>IF(WMFT_Unaffected_Arm!D15="", "na",WMFT_Unaffected_Arm!D15)</f>
        <v>na</v>
      </c>
      <c r="J26" s="1" t="str">
        <f>IF(WMFT_Unaffected_Arm!E15="", "na",WMFT_Unaffected_Arm!E15)</f>
        <v>na</v>
      </c>
      <c r="K26" s="1" t="e">
        <f t="shared" ref="K26:M26" si="28">K25</f>
        <v>#NUM!</v>
      </c>
      <c r="L26" s="1">
        <f t="shared" si="28"/>
        <v>0</v>
      </c>
      <c r="M26" s="1" t="e">
        <f t="shared" si="28"/>
        <v>#DIV/0!</v>
      </c>
    </row>
    <row r="27" spans="1:13" x14ac:dyDescent="0.25">
      <c r="A27" s="1" t="str">
        <f t="shared" ref="A27:E27" si="29">A26</f>
        <v>ABC123</v>
      </c>
      <c r="B27" s="1" t="str">
        <f t="shared" si="29"/>
        <v>2018_07_11</v>
      </c>
      <c r="C27" s="1" t="str">
        <f t="shared" si="29"/>
        <v>2018</v>
      </c>
      <c r="D27" s="1" t="str">
        <f t="shared" si="29"/>
        <v>07</v>
      </c>
      <c r="E27" s="1" t="str">
        <f t="shared" si="29"/>
        <v>11</v>
      </c>
      <c r="F27" s="1" t="str">
        <f t="shared" ref="F27" si="30">F26</f>
        <v>WMFT</v>
      </c>
      <c r="G27" s="1" t="s">
        <v>66</v>
      </c>
      <c r="H27" s="1" t="str">
        <f>RIGHT(WMFT_Unaffected_Arm!A16,2)</f>
        <v>09</v>
      </c>
      <c r="I27" s="1" t="str">
        <f>IF(WMFT_Unaffected_Arm!D16="", "na",WMFT_Unaffected_Arm!D16)</f>
        <v>na</v>
      </c>
      <c r="J27" s="1" t="str">
        <f>IF(WMFT_Unaffected_Arm!E16="", "na",WMFT_Unaffected_Arm!E16)</f>
        <v>na</v>
      </c>
      <c r="K27" s="1" t="e">
        <f t="shared" ref="K27:M27" si="31">K26</f>
        <v>#NUM!</v>
      </c>
      <c r="L27" s="1">
        <f t="shared" si="31"/>
        <v>0</v>
      </c>
      <c r="M27" s="1" t="e">
        <f t="shared" si="31"/>
        <v>#DIV/0!</v>
      </c>
    </row>
    <row r="28" spans="1:13" x14ac:dyDescent="0.25">
      <c r="A28" s="1" t="str">
        <f t="shared" ref="A28:E28" si="32">A27</f>
        <v>ABC123</v>
      </c>
      <c r="B28" s="1" t="str">
        <f t="shared" si="32"/>
        <v>2018_07_11</v>
      </c>
      <c r="C28" s="1" t="str">
        <f t="shared" si="32"/>
        <v>2018</v>
      </c>
      <c r="D28" s="1" t="str">
        <f t="shared" si="32"/>
        <v>07</v>
      </c>
      <c r="E28" s="1" t="str">
        <f t="shared" si="32"/>
        <v>11</v>
      </c>
      <c r="F28" s="1" t="str">
        <f t="shared" ref="F28" si="33">F27</f>
        <v>WMFT</v>
      </c>
      <c r="G28" s="1" t="s">
        <v>66</v>
      </c>
      <c r="H28" s="1" t="str">
        <f>RIGHT(WMFT_Unaffected_Arm!A17,2)</f>
        <v>10</v>
      </c>
      <c r="I28" s="1" t="str">
        <f>IF(WMFT_Unaffected_Arm!D17="", "na",WMFT_Unaffected_Arm!D17)</f>
        <v>na</v>
      </c>
      <c r="J28" s="1" t="str">
        <f>IF(WMFT_Unaffected_Arm!E17="", "na",WMFT_Unaffected_Arm!E17)</f>
        <v>na</v>
      </c>
      <c r="K28" s="1" t="e">
        <f t="shared" ref="K28:M28" si="34">K27</f>
        <v>#NUM!</v>
      </c>
      <c r="L28" s="1">
        <f t="shared" si="34"/>
        <v>0</v>
      </c>
      <c r="M28" s="1" t="e">
        <f t="shared" si="34"/>
        <v>#DIV/0!</v>
      </c>
    </row>
    <row r="29" spans="1:13" x14ac:dyDescent="0.25">
      <c r="A29" s="1" t="str">
        <f t="shared" ref="A29:E29" si="35">A28</f>
        <v>ABC123</v>
      </c>
      <c r="B29" s="1" t="str">
        <f t="shared" si="35"/>
        <v>2018_07_11</v>
      </c>
      <c r="C29" s="1" t="str">
        <f t="shared" si="35"/>
        <v>2018</v>
      </c>
      <c r="D29" s="1" t="str">
        <f t="shared" si="35"/>
        <v>07</v>
      </c>
      <c r="E29" s="1" t="str">
        <f t="shared" si="35"/>
        <v>11</v>
      </c>
      <c r="F29" s="1" t="str">
        <f t="shared" ref="F29" si="36">F28</f>
        <v>WMFT</v>
      </c>
      <c r="G29" s="1" t="s">
        <v>66</v>
      </c>
      <c r="H29" s="1" t="str">
        <f>RIGHT(WMFT_Unaffected_Arm!A18,2)</f>
        <v>11</v>
      </c>
      <c r="I29" s="1" t="str">
        <f>IF(WMFT_Unaffected_Arm!D18="", "na",WMFT_Unaffected_Arm!D18)</f>
        <v>na</v>
      </c>
      <c r="J29" s="1" t="str">
        <f>IF(WMFT_Unaffected_Arm!E18="", "na",WMFT_Unaffected_Arm!E18)</f>
        <v>na</v>
      </c>
      <c r="K29" s="1" t="e">
        <f t="shared" ref="K29:M29" si="37">K28</f>
        <v>#NUM!</v>
      </c>
      <c r="L29" s="1">
        <f t="shared" si="37"/>
        <v>0</v>
      </c>
      <c r="M29" s="1" t="e">
        <f t="shared" si="37"/>
        <v>#DIV/0!</v>
      </c>
    </row>
    <row r="30" spans="1:13" x14ac:dyDescent="0.25">
      <c r="A30" s="1" t="str">
        <f t="shared" ref="A30:E30" si="38">A29</f>
        <v>ABC123</v>
      </c>
      <c r="B30" s="1" t="str">
        <f t="shared" si="38"/>
        <v>2018_07_11</v>
      </c>
      <c r="C30" s="1" t="str">
        <f t="shared" si="38"/>
        <v>2018</v>
      </c>
      <c r="D30" s="1" t="str">
        <f t="shared" si="38"/>
        <v>07</v>
      </c>
      <c r="E30" s="1" t="str">
        <f t="shared" si="38"/>
        <v>11</v>
      </c>
      <c r="F30" s="1" t="str">
        <f t="shared" ref="F30" si="39">F29</f>
        <v>WMFT</v>
      </c>
      <c r="G30" s="1" t="s">
        <v>66</v>
      </c>
      <c r="H30" s="1" t="str">
        <f>RIGHT(WMFT_Unaffected_Arm!A19,2)</f>
        <v>12</v>
      </c>
      <c r="I30" s="1" t="str">
        <f>IF(WMFT_Unaffected_Arm!D19="", "na",WMFT_Unaffected_Arm!D19)</f>
        <v>na</v>
      </c>
      <c r="J30" s="1" t="str">
        <f>IF(WMFT_Unaffected_Arm!E19="", "na",WMFT_Unaffected_Arm!E19)</f>
        <v>na</v>
      </c>
      <c r="K30" s="1" t="e">
        <f t="shared" ref="K30:M30" si="40">K29</f>
        <v>#NUM!</v>
      </c>
      <c r="L30" s="1">
        <f t="shared" si="40"/>
        <v>0</v>
      </c>
      <c r="M30" s="1" t="e">
        <f t="shared" si="40"/>
        <v>#DIV/0!</v>
      </c>
    </row>
    <row r="31" spans="1:13" x14ac:dyDescent="0.25">
      <c r="A31" s="1" t="str">
        <f t="shared" ref="A31:E31" si="41">A30</f>
        <v>ABC123</v>
      </c>
      <c r="B31" s="1" t="str">
        <f t="shared" si="41"/>
        <v>2018_07_11</v>
      </c>
      <c r="C31" s="1" t="str">
        <f t="shared" si="41"/>
        <v>2018</v>
      </c>
      <c r="D31" s="1" t="str">
        <f t="shared" si="41"/>
        <v>07</v>
      </c>
      <c r="E31" s="1" t="str">
        <f t="shared" si="41"/>
        <v>11</v>
      </c>
      <c r="F31" s="1" t="str">
        <f t="shared" ref="F31" si="42">F30</f>
        <v>WMFT</v>
      </c>
      <c r="G31" s="1" t="s">
        <v>66</v>
      </c>
      <c r="H31" s="1" t="str">
        <f>RIGHT(WMFT_Unaffected_Arm!A20,2)</f>
        <v>13</v>
      </c>
      <c r="I31" s="1" t="str">
        <f>IF(WMFT_Unaffected_Arm!D20="", "na",WMFT_Unaffected_Arm!D20)</f>
        <v>na</v>
      </c>
      <c r="J31" s="1" t="str">
        <f>IF(WMFT_Unaffected_Arm!E20="", "na",WMFT_Unaffected_Arm!E20)</f>
        <v>na</v>
      </c>
      <c r="K31" s="1" t="e">
        <f t="shared" ref="K31:M31" si="43">K30</f>
        <v>#NUM!</v>
      </c>
      <c r="L31" s="1">
        <f t="shared" si="43"/>
        <v>0</v>
      </c>
      <c r="M31" s="1" t="e">
        <f t="shared" si="43"/>
        <v>#DIV/0!</v>
      </c>
    </row>
    <row r="32" spans="1:13" x14ac:dyDescent="0.25">
      <c r="A32" s="1" t="str">
        <f t="shared" ref="A32:E32" si="44">A31</f>
        <v>ABC123</v>
      </c>
      <c r="B32" s="1" t="str">
        <f t="shared" si="44"/>
        <v>2018_07_11</v>
      </c>
      <c r="C32" s="1" t="str">
        <f t="shared" si="44"/>
        <v>2018</v>
      </c>
      <c r="D32" s="1" t="str">
        <f t="shared" si="44"/>
        <v>07</v>
      </c>
      <c r="E32" s="1" t="str">
        <f t="shared" si="44"/>
        <v>11</v>
      </c>
      <c r="F32" s="1" t="str">
        <f t="shared" ref="F32" si="45">F31</f>
        <v>WMFT</v>
      </c>
      <c r="G32" s="1" t="s">
        <v>66</v>
      </c>
      <c r="H32" s="1" t="str">
        <f>RIGHT(WMFT_Unaffected_Arm!A21,2)</f>
        <v>14</v>
      </c>
      <c r="I32" s="1" t="str">
        <f>IF(WMFT_Unaffected_Arm!D21="", "na",WMFT_Unaffected_Arm!D21)</f>
        <v>na</v>
      </c>
      <c r="J32" s="1" t="str">
        <f>IF(WMFT_Unaffected_Arm!E21="", "na",WMFT_Unaffected_Arm!E21)</f>
        <v>na</v>
      </c>
      <c r="K32" s="1" t="e">
        <f t="shared" ref="K32:M32" si="46">K31</f>
        <v>#NUM!</v>
      </c>
      <c r="L32" s="1">
        <f t="shared" si="46"/>
        <v>0</v>
      </c>
      <c r="M32" s="1" t="e">
        <f t="shared" si="46"/>
        <v>#DIV/0!</v>
      </c>
    </row>
    <row r="33" spans="1:13" x14ac:dyDescent="0.25">
      <c r="A33" s="1" t="str">
        <f t="shared" ref="A33:E33" si="47">A32</f>
        <v>ABC123</v>
      </c>
      <c r="B33" s="1" t="str">
        <f t="shared" si="47"/>
        <v>2018_07_11</v>
      </c>
      <c r="C33" s="1" t="str">
        <f t="shared" si="47"/>
        <v>2018</v>
      </c>
      <c r="D33" s="1" t="str">
        <f t="shared" si="47"/>
        <v>07</v>
      </c>
      <c r="E33" s="1" t="str">
        <f t="shared" si="47"/>
        <v>11</v>
      </c>
      <c r="F33" s="1" t="str">
        <f t="shared" ref="F33" si="48">F32</f>
        <v>WMFT</v>
      </c>
      <c r="G33" s="1" t="s">
        <v>66</v>
      </c>
      <c r="H33" s="1" t="str">
        <f>RIGHT(WMFT_Unaffected_Arm!A22,2)</f>
        <v>15</v>
      </c>
      <c r="I33" s="1" t="str">
        <f>IF(WMFT_Unaffected_Arm!D22="", "na",WMFT_Unaffected_Arm!D22)</f>
        <v>na</v>
      </c>
      <c r="J33" s="1" t="str">
        <f>IF(WMFT_Unaffected_Arm!E22="", "na",WMFT_Unaffected_Arm!E22)</f>
        <v>na</v>
      </c>
      <c r="K33" s="1" t="e">
        <f t="shared" ref="K33:M33" si="49">K32</f>
        <v>#NUM!</v>
      </c>
      <c r="L33" s="1">
        <f t="shared" si="49"/>
        <v>0</v>
      </c>
      <c r="M33" s="1" t="e">
        <f t="shared" si="49"/>
        <v>#DIV/0!</v>
      </c>
    </row>
    <row r="34" spans="1:13" x14ac:dyDescent="0.25">
      <c r="A34" s="1" t="str">
        <f t="shared" ref="A34:E34" si="50">A33</f>
        <v>ABC123</v>
      </c>
      <c r="B34" s="1" t="str">
        <f t="shared" si="50"/>
        <v>2018_07_11</v>
      </c>
      <c r="C34" s="1" t="str">
        <f t="shared" si="50"/>
        <v>2018</v>
      </c>
      <c r="D34" s="1" t="str">
        <f t="shared" si="50"/>
        <v>07</v>
      </c>
      <c r="E34" s="1" t="str">
        <f t="shared" si="50"/>
        <v>11</v>
      </c>
      <c r="F34" s="1" t="str">
        <f t="shared" ref="F34" si="51">F33</f>
        <v>WMFT</v>
      </c>
      <c r="G34" s="1" t="s">
        <v>66</v>
      </c>
      <c r="H34" s="1" t="str">
        <f>RIGHT(WMFT_Unaffected_Arm!A23,2)</f>
        <v>16</v>
      </c>
      <c r="I34" s="1" t="str">
        <f>IF(WMFT_Unaffected_Arm!D23="", "na",WMFT_Unaffected_Arm!D23)</f>
        <v>na</v>
      </c>
      <c r="J34" s="1" t="str">
        <f>IF(WMFT_Unaffected_Arm!E23="", "na",WMFT_Unaffected_Arm!E23)</f>
        <v>na</v>
      </c>
      <c r="K34" s="1" t="e">
        <f t="shared" ref="K34:M34" si="52">K33</f>
        <v>#NUM!</v>
      </c>
      <c r="L34" s="1">
        <f t="shared" si="52"/>
        <v>0</v>
      </c>
      <c r="M34" s="1" t="e">
        <f t="shared" si="52"/>
        <v>#DIV/0!</v>
      </c>
    </row>
    <row r="35" spans="1:13" x14ac:dyDescent="0.25">
      <c r="A35" s="1" t="str">
        <f t="shared" ref="A35:E35" si="53">A34</f>
        <v>ABC123</v>
      </c>
      <c r="B35" s="1" t="str">
        <f t="shared" si="53"/>
        <v>2018_07_11</v>
      </c>
      <c r="C35" s="1" t="str">
        <f t="shared" si="53"/>
        <v>2018</v>
      </c>
      <c r="D35" s="1" t="str">
        <f t="shared" si="53"/>
        <v>07</v>
      </c>
      <c r="E35" s="1" t="str">
        <f t="shared" si="53"/>
        <v>11</v>
      </c>
      <c r="F35" s="1" t="str">
        <f t="shared" ref="F35" si="54">F34</f>
        <v>WMFT</v>
      </c>
      <c r="G35" s="1" t="s">
        <v>66</v>
      </c>
      <c r="H35" s="1" t="str">
        <f>RIGHT(WMFT_Unaffected_Arm!A24,2)</f>
        <v>17</v>
      </c>
      <c r="I35" s="1" t="str">
        <f>IF(WMFT_Unaffected_Arm!D24="", "na",WMFT_Unaffected_Arm!D24)</f>
        <v>na</v>
      </c>
      <c r="J35" s="1" t="str">
        <f>IF(WMFT_Unaffected_Arm!E24="", "na",WMFT_Unaffected_Arm!E24)</f>
        <v>na</v>
      </c>
      <c r="K35" s="1" t="e">
        <f t="shared" ref="K35:M35" si="55">K34</f>
        <v>#NUM!</v>
      </c>
      <c r="L35" s="1">
        <f t="shared" si="55"/>
        <v>0</v>
      </c>
      <c r="M35" s="1" t="e">
        <f t="shared" si="55"/>
        <v>#DIV/0!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WMFT_Affected_Arm</vt:lpstr>
      <vt:lpstr>WMFT_Unaffected_Arm</vt:lpstr>
      <vt:lpstr>DATA_EXPORT</vt:lpstr>
    </vt:vector>
  </TitlesOfParts>
  <Company>University of Utah College of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Lohse</dc:creator>
  <cp:lastModifiedBy>Keith Lohse</cp:lastModifiedBy>
  <dcterms:created xsi:type="dcterms:W3CDTF">2018-06-10T19:42:59Z</dcterms:created>
  <dcterms:modified xsi:type="dcterms:W3CDTF">2018-07-11T17:09:53Z</dcterms:modified>
</cp:coreProperties>
</file>